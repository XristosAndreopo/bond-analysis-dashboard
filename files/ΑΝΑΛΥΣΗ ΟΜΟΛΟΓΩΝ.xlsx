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rist\Desktop\"/>
    </mc:Choice>
  </mc:AlternateContent>
  <xr:revisionPtr revIDLastSave="0" documentId="13_ncr:1_{70BD896B-4F77-47AA-9E96-EC726AF6609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ashboard" sheetId="1" r:id="rId1"/>
    <sheet name="Inputs" sheetId="2" r:id="rId2"/>
    <sheet name="Analysis" sheetId="3" r:id="rId3"/>
    <sheet name="Cash_Flows" sheetId="4" r:id="rId4"/>
    <sheet name="Risk" sheetId="5" state="hidden" r:id="rId5"/>
    <sheet name="Sensitivity" sheetId="6" state="hidden" r:id="rId6"/>
    <sheet name="Portfolio" sheetId="7" r:id="rId7"/>
    <sheet name="Sources_Notes" sheetId="8" state="hidden" r:id="rId8"/>
    <sheet name="Lists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7" l="1"/>
  <c r="B6" i="7"/>
  <c r="D6" i="7"/>
  <c r="E6" i="7"/>
  <c r="F6" i="7"/>
  <c r="C12" i="5"/>
  <c r="B12" i="5"/>
  <c r="C11" i="5"/>
  <c r="B11" i="5"/>
  <c r="C10" i="5"/>
  <c r="B10" i="5"/>
  <c r="C9" i="5"/>
  <c r="B9" i="5"/>
  <c r="C7" i="5"/>
  <c r="B7" i="5"/>
  <c r="C6" i="5"/>
  <c r="B6" i="5"/>
  <c r="B13" i="3"/>
  <c r="B12" i="3"/>
  <c r="B5" i="3"/>
  <c r="B4" i="3"/>
  <c r="B9" i="4" l="1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" i="4"/>
  <c r="B7" i="4"/>
  <c r="B8" i="4"/>
  <c r="E12" i="5"/>
  <c r="E11" i="5"/>
  <c r="E10" i="5"/>
  <c r="E9" i="5"/>
  <c r="E7" i="5"/>
  <c r="E6" i="5"/>
  <c r="D605" i="4"/>
  <c r="C605" i="4"/>
  <c r="E605" i="4" s="1"/>
  <c r="D604" i="4"/>
  <c r="C604" i="4"/>
  <c r="D603" i="4"/>
  <c r="C603" i="4"/>
  <c r="D602" i="4"/>
  <c r="C602" i="4"/>
  <c r="E602" i="4" s="1"/>
  <c r="D601" i="4"/>
  <c r="C601" i="4"/>
  <c r="D600" i="4"/>
  <c r="C600" i="4"/>
  <c r="E600" i="4" s="1"/>
  <c r="D599" i="4"/>
  <c r="C599" i="4"/>
  <c r="D598" i="4"/>
  <c r="C598" i="4"/>
  <c r="E598" i="4" s="1"/>
  <c r="D597" i="4"/>
  <c r="C597" i="4"/>
  <c r="D596" i="4"/>
  <c r="C596" i="4"/>
  <c r="D595" i="4"/>
  <c r="C595" i="4"/>
  <c r="D594" i="4"/>
  <c r="C594" i="4"/>
  <c r="E594" i="4" s="1"/>
  <c r="D593" i="4"/>
  <c r="C593" i="4"/>
  <c r="E593" i="4" s="1"/>
  <c r="D592" i="4"/>
  <c r="C592" i="4"/>
  <c r="E592" i="4" s="1"/>
  <c r="D591" i="4"/>
  <c r="C591" i="4"/>
  <c r="E591" i="4" s="1"/>
  <c r="D590" i="4"/>
  <c r="C590" i="4"/>
  <c r="E590" i="4" s="1"/>
  <c r="D589" i="4"/>
  <c r="C589" i="4"/>
  <c r="D588" i="4"/>
  <c r="C588" i="4"/>
  <c r="D587" i="4"/>
  <c r="C587" i="4"/>
  <c r="E587" i="4" s="1"/>
  <c r="D586" i="4"/>
  <c r="C586" i="4"/>
  <c r="E586" i="4" s="1"/>
  <c r="D585" i="4"/>
  <c r="C585" i="4"/>
  <c r="D584" i="4"/>
  <c r="C584" i="4"/>
  <c r="E584" i="4" s="1"/>
  <c r="D583" i="4"/>
  <c r="C583" i="4"/>
  <c r="E583" i="4" s="1"/>
  <c r="D582" i="4"/>
  <c r="C582" i="4"/>
  <c r="E582" i="4" s="1"/>
  <c r="D581" i="4"/>
  <c r="C581" i="4"/>
  <c r="D580" i="4"/>
  <c r="C580" i="4"/>
  <c r="D579" i="4"/>
  <c r="C579" i="4"/>
  <c r="E579" i="4" s="1"/>
  <c r="D578" i="4"/>
  <c r="C578" i="4"/>
  <c r="D577" i="4"/>
  <c r="C577" i="4"/>
  <c r="D518" i="4"/>
  <c r="C518" i="4"/>
  <c r="E518" i="4" s="1"/>
  <c r="D517" i="4"/>
  <c r="C517" i="4"/>
  <c r="D516" i="4"/>
  <c r="C516" i="4"/>
  <c r="D515" i="4"/>
  <c r="C515" i="4"/>
  <c r="D514" i="4"/>
  <c r="C514" i="4"/>
  <c r="E514" i="4" s="1"/>
  <c r="D513" i="4"/>
  <c r="C513" i="4"/>
  <c r="D512" i="4"/>
  <c r="C512" i="4"/>
  <c r="D511" i="4"/>
  <c r="C511" i="4"/>
  <c r="D510" i="4"/>
  <c r="C510" i="4"/>
  <c r="D509" i="4"/>
  <c r="C509" i="4"/>
  <c r="D508" i="4"/>
  <c r="C508" i="4"/>
  <c r="E508" i="4" s="1"/>
  <c r="D507" i="4"/>
  <c r="C507" i="4"/>
  <c r="E507" i="4" s="1"/>
  <c r="D506" i="4"/>
  <c r="C506" i="4"/>
  <c r="D505" i="4"/>
  <c r="C505" i="4"/>
  <c r="D504" i="4"/>
  <c r="C504" i="4"/>
  <c r="D503" i="4"/>
  <c r="C503" i="4"/>
  <c r="D502" i="4"/>
  <c r="C502" i="4"/>
  <c r="D501" i="4"/>
  <c r="C501" i="4"/>
  <c r="E501" i="4" s="1"/>
  <c r="D500" i="4"/>
  <c r="C500" i="4"/>
  <c r="E500" i="4" s="1"/>
  <c r="D499" i="4"/>
  <c r="C499" i="4"/>
  <c r="E499" i="4" s="1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E491" i="4" s="1"/>
  <c r="D490" i="4"/>
  <c r="C490" i="4"/>
  <c r="D489" i="4"/>
  <c r="C489" i="4"/>
  <c r="D488" i="4"/>
  <c r="C488" i="4"/>
  <c r="E488" i="4" s="1"/>
  <c r="D487" i="4"/>
  <c r="C487" i="4"/>
  <c r="D486" i="4"/>
  <c r="C486" i="4"/>
  <c r="D485" i="4"/>
  <c r="C485" i="4"/>
  <c r="D484" i="4"/>
  <c r="C484" i="4"/>
  <c r="D483" i="4"/>
  <c r="C483" i="4"/>
  <c r="D482" i="4"/>
  <c r="C482" i="4"/>
  <c r="C481" i="4"/>
  <c r="D480" i="4"/>
  <c r="D479" i="4"/>
  <c r="C479" i="4"/>
  <c r="D478" i="4"/>
  <c r="C478" i="4"/>
  <c r="D476" i="4"/>
  <c r="D475" i="4"/>
  <c r="D474" i="4"/>
  <c r="C473" i="4"/>
  <c r="D472" i="4"/>
  <c r="C471" i="4"/>
  <c r="D470" i="4"/>
  <c r="D469" i="4"/>
  <c r="C468" i="4"/>
  <c r="C467" i="4"/>
  <c r="C466" i="4"/>
  <c r="D465" i="4"/>
  <c r="D464" i="4"/>
  <c r="D463" i="4"/>
  <c r="C462" i="4"/>
  <c r="C461" i="4"/>
  <c r="C460" i="4"/>
  <c r="C459" i="4"/>
  <c r="C458" i="4"/>
  <c r="D457" i="4"/>
  <c r="D456" i="4"/>
  <c r="C455" i="4"/>
  <c r="D454" i="4"/>
  <c r="C453" i="4"/>
  <c r="C452" i="4"/>
  <c r="C451" i="4"/>
  <c r="D450" i="4"/>
  <c r="D449" i="4"/>
  <c r="D448" i="4"/>
  <c r="C447" i="4"/>
  <c r="D446" i="4"/>
  <c r="C445" i="4"/>
  <c r="C444" i="4"/>
  <c r="D443" i="4"/>
  <c r="D442" i="4"/>
  <c r="D441" i="4"/>
  <c r="D440" i="4"/>
  <c r="D439" i="4"/>
  <c r="C438" i="4"/>
  <c r="D437" i="4"/>
  <c r="D436" i="4"/>
  <c r="D435" i="4"/>
  <c r="C434" i="4"/>
  <c r="C433" i="4"/>
  <c r="C432" i="4"/>
  <c r="C431" i="4"/>
  <c r="C430" i="4"/>
  <c r="C429" i="4"/>
  <c r="D428" i="4"/>
  <c r="C427" i="4"/>
  <c r="D426" i="4"/>
  <c r="D425" i="4"/>
  <c r="C424" i="4"/>
  <c r="D423" i="4"/>
  <c r="C422" i="4"/>
  <c r="D421" i="4"/>
  <c r="C420" i="4"/>
  <c r="D419" i="4"/>
  <c r="C418" i="4"/>
  <c r="D417" i="4"/>
  <c r="C416" i="4"/>
  <c r="C410" i="4"/>
  <c r="C409" i="4"/>
  <c r="D408" i="4"/>
  <c r="D407" i="4"/>
  <c r="C406" i="4"/>
  <c r="C405" i="4"/>
  <c r="C404" i="4"/>
  <c r="D403" i="4"/>
  <c r="C402" i="4"/>
  <c r="D401" i="4"/>
  <c r="D400" i="4"/>
  <c r="D399" i="4"/>
  <c r="C398" i="4"/>
  <c r="D397" i="4"/>
  <c r="C396" i="4"/>
  <c r="D395" i="4"/>
  <c r="C394" i="4"/>
  <c r="C393" i="4"/>
  <c r="C392" i="4"/>
  <c r="D391" i="4"/>
  <c r="D390" i="4"/>
  <c r="D389" i="4"/>
  <c r="C388" i="4"/>
  <c r="D387" i="4"/>
  <c r="C386" i="4"/>
  <c r="D385" i="4"/>
  <c r="C384" i="4"/>
  <c r="C383" i="4"/>
  <c r="D382" i="4"/>
  <c r="C381" i="4"/>
  <c r="C380" i="4"/>
  <c r="C379" i="4"/>
  <c r="D378" i="4"/>
  <c r="C377" i="4"/>
  <c r="C376" i="4"/>
  <c r="D375" i="4"/>
  <c r="C374" i="4"/>
  <c r="C373" i="4"/>
  <c r="D372" i="4"/>
  <c r="C372" i="4"/>
  <c r="D371" i="4"/>
  <c r="C371" i="4"/>
  <c r="D370" i="4"/>
  <c r="C370" i="4"/>
  <c r="D369" i="4"/>
  <c r="C369" i="4"/>
  <c r="D368" i="4"/>
  <c r="C368" i="4"/>
  <c r="E368" i="4" s="1"/>
  <c r="D367" i="4"/>
  <c r="C367" i="4"/>
  <c r="E367" i="4" s="1"/>
  <c r="D366" i="4"/>
  <c r="C365" i="4"/>
  <c r="D364" i="4"/>
  <c r="C363" i="4"/>
  <c r="D362" i="4"/>
  <c r="C361" i="4"/>
  <c r="C360" i="4"/>
  <c r="C359" i="4"/>
  <c r="D358" i="4"/>
  <c r="C357" i="4"/>
  <c r="D356" i="4"/>
  <c r="D355" i="4"/>
  <c r="C354" i="4"/>
  <c r="C353" i="4"/>
  <c r="D352" i="4"/>
  <c r="C352" i="4"/>
  <c r="C351" i="4"/>
  <c r="D350" i="4"/>
  <c r="C349" i="4"/>
  <c r="C348" i="4"/>
  <c r="D347" i="4"/>
  <c r="C346" i="4"/>
  <c r="C345" i="4"/>
  <c r="C344" i="4"/>
  <c r="D343" i="4"/>
  <c r="C342" i="4"/>
  <c r="D341" i="4"/>
  <c r="C340" i="4"/>
  <c r="C339" i="4"/>
  <c r="C338" i="4"/>
  <c r="D337" i="4"/>
  <c r="D336" i="4"/>
  <c r="C335" i="4"/>
  <c r="D334" i="4"/>
  <c r="C333" i="4"/>
  <c r="D332" i="4"/>
  <c r="D331" i="4"/>
  <c r="D330" i="4"/>
  <c r="D329" i="4"/>
  <c r="D328" i="4"/>
  <c r="C327" i="4"/>
  <c r="D326" i="4"/>
  <c r="D325" i="4"/>
  <c r="C325" i="4"/>
  <c r="C324" i="4"/>
  <c r="D323" i="4"/>
  <c r="D322" i="4"/>
  <c r="C321" i="4"/>
  <c r="C320" i="4"/>
  <c r="D319" i="4"/>
  <c r="D318" i="4"/>
  <c r="D317" i="4"/>
  <c r="C316" i="4"/>
  <c r="C315" i="4"/>
  <c r="C314" i="4"/>
  <c r="D313" i="4"/>
  <c r="C311" i="4"/>
  <c r="D310" i="4"/>
  <c r="C309" i="4"/>
  <c r="D308" i="4"/>
  <c r="C307" i="4"/>
  <c r="D306" i="4"/>
  <c r="C305" i="4"/>
  <c r="C304" i="4"/>
  <c r="D303" i="4"/>
  <c r="C302" i="4"/>
  <c r="D301" i="4"/>
  <c r="C300" i="4"/>
  <c r="D299" i="4"/>
  <c r="C298" i="4"/>
  <c r="C297" i="4"/>
  <c r="C296" i="4"/>
  <c r="C295" i="4"/>
  <c r="D294" i="4"/>
  <c r="D293" i="4"/>
  <c r="C292" i="4"/>
  <c r="D291" i="4"/>
  <c r="D290" i="4"/>
  <c r="C289" i="4"/>
  <c r="D288" i="4"/>
  <c r="D287" i="4"/>
  <c r="C286" i="4"/>
  <c r="D285" i="4"/>
  <c r="C284" i="4"/>
  <c r="D283" i="4"/>
  <c r="C282" i="4"/>
  <c r="C281" i="4"/>
  <c r="C280" i="4"/>
  <c r="C279" i="4"/>
  <c r="D278" i="4"/>
  <c r="C277" i="4"/>
  <c r="D276" i="4"/>
  <c r="C275" i="4"/>
  <c r="C274" i="4"/>
  <c r="D273" i="4"/>
  <c r="D272" i="4"/>
  <c r="D271" i="4"/>
  <c r="C270" i="4"/>
  <c r="D269" i="4"/>
  <c r="C268" i="4"/>
  <c r="C267" i="4"/>
  <c r="C266" i="4"/>
  <c r="D265" i="4"/>
  <c r="D264" i="4"/>
  <c r="C263" i="4"/>
  <c r="C262" i="4"/>
  <c r="D261" i="4"/>
  <c r="D260" i="4"/>
  <c r="C259" i="4"/>
  <c r="D258" i="4"/>
  <c r="D257" i="4"/>
  <c r="C256" i="4"/>
  <c r="C255" i="4"/>
  <c r="C254" i="4"/>
  <c r="C253" i="4"/>
  <c r="D252" i="4"/>
  <c r="C251" i="4"/>
  <c r="D250" i="4"/>
  <c r="C249" i="4"/>
  <c r="D248" i="4"/>
  <c r="D247" i="4"/>
  <c r="C247" i="4"/>
  <c r="D246" i="4"/>
  <c r="D245" i="4"/>
  <c r="D244" i="4"/>
  <c r="D243" i="4"/>
  <c r="D242" i="4"/>
  <c r="D241" i="4"/>
  <c r="C240" i="4"/>
  <c r="C239" i="4"/>
  <c r="C238" i="4"/>
  <c r="C237" i="4"/>
  <c r="D236" i="4"/>
  <c r="C235" i="4"/>
  <c r="D234" i="4"/>
  <c r="C233" i="4"/>
  <c r="C231" i="4"/>
  <c r="C230" i="4"/>
  <c r="D229" i="4"/>
  <c r="D228" i="4"/>
  <c r="C227" i="4"/>
  <c r="D226" i="4"/>
  <c r="C225" i="4"/>
  <c r="C224" i="4"/>
  <c r="C223" i="4"/>
  <c r="C222" i="4"/>
  <c r="D221" i="4"/>
  <c r="D220" i="4"/>
  <c r="D219" i="4"/>
  <c r="C218" i="4"/>
  <c r="C217" i="4"/>
  <c r="C216" i="4"/>
  <c r="D215" i="4"/>
  <c r="D214" i="4"/>
  <c r="D213" i="4"/>
  <c r="C212" i="4"/>
  <c r="C211" i="4"/>
  <c r="C210" i="4"/>
  <c r="D209" i="4"/>
  <c r="D208" i="4"/>
  <c r="D207" i="4"/>
  <c r="D206" i="4"/>
  <c r="C205" i="4"/>
  <c r="C204" i="4"/>
  <c r="D203" i="4"/>
  <c r="D202" i="4"/>
  <c r="C201" i="4"/>
  <c r="C200" i="4"/>
  <c r="D199" i="4"/>
  <c r="D198" i="4"/>
  <c r="D197" i="4"/>
  <c r="C196" i="4"/>
  <c r="D195" i="4"/>
  <c r="C194" i="4"/>
  <c r="D193" i="4"/>
  <c r="D192" i="4"/>
  <c r="C191" i="4"/>
  <c r="D183" i="4"/>
  <c r="C182" i="4"/>
  <c r="D181" i="4"/>
  <c r="D180" i="4"/>
  <c r="C179" i="4"/>
  <c r="C178" i="4"/>
  <c r="C177" i="4"/>
  <c r="D176" i="4"/>
  <c r="D175" i="4"/>
  <c r="C174" i="4"/>
  <c r="D173" i="4"/>
  <c r="C172" i="4"/>
  <c r="D171" i="4"/>
  <c r="C170" i="4"/>
  <c r="C169" i="4"/>
  <c r="C168" i="4"/>
  <c r="C167" i="4"/>
  <c r="C166" i="4"/>
  <c r="D165" i="4"/>
  <c r="D164" i="4"/>
  <c r="C164" i="4"/>
  <c r="D163" i="4"/>
  <c r="C162" i="4"/>
  <c r="C161" i="4"/>
  <c r="C160" i="4"/>
  <c r="D159" i="4"/>
  <c r="D158" i="4"/>
  <c r="C157" i="4"/>
  <c r="D156" i="4"/>
  <c r="C155" i="4"/>
  <c r="D154" i="4"/>
  <c r="D153" i="4"/>
  <c r="C152" i="4"/>
  <c r="D151" i="4"/>
  <c r="C150" i="4"/>
  <c r="D149" i="4"/>
  <c r="C148" i="4"/>
  <c r="D147" i="4"/>
  <c r="C146" i="4"/>
  <c r="D145" i="4"/>
  <c r="D144" i="4"/>
  <c r="D143" i="4"/>
  <c r="C143" i="4"/>
  <c r="E143" i="4" s="1"/>
  <c r="D142" i="4"/>
  <c r="C142" i="4"/>
  <c r="E142" i="4" s="1"/>
  <c r="D141" i="4"/>
  <c r="C141" i="4"/>
  <c r="D140" i="4"/>
  <c r="C140" i="4"/>
  <c r="D139" i="4"/>
  <c r="C139" i="4"/>
  <c r="D138" i="4"/>
  <c r="C138" i="4"/>
  <c r="D137" i="4"/>
  <c r="C137" i="4"/>
  <c r="E137" i="4" s="1"/>
  <c r="D136" i="4"/>
  <c r="C136" i="4"/>
  <c r="D135" i="4"/>
  <c r="C135" i="4"/>
  <c r="D134" i="4"/>
  <c r="C134" i="4"/>
  <c r="D133" i="4"/>
  <c r="C133" i="4"/>
  <c r="E133" i="4" s="1"/>
  <c r="D132" i="4"/>
  <c r="C131" i="4"/>
  <c r="D130" i="4"/>
  <c r="C130" i="4"/>
  <c r="C129" i="4"/>
  <c r="D128" i="4"/>
  <c r="D127" i="4"/>
  <c r="C126" i="4"/>
  <c r="D125" i="4"/>
  <c r="D124" i="4"/>
  <c r="D123" i="4"/>
  <c r="C122" i="4"/>
  <c r="D121" i="4"/>
  <c r="D120" i="4"/>
  <c r="C119" i="4"/>
  <c r="D118" i="4"/>
  <c r="C117" i="4"/>
  <c r="D116" i="4"/>
  <c r="D115" i="4"/>
  <c r="C114" i="4"/>
  <c r="C113" i="4"/>
  <c r="D112" i="4"/>
  <c r="D111" i="4"/>
  <c r="C110" i="4"/>
  <c r="C109" i="4"/>
  <c r="D108" i="4"/>
  <c r="C107" i="4"/>
  <c r="C106" i="4"/>
  <c r="D105" i="4"/>
  <c r="C104" i="4"/>
  <c r="D103" i="4"/>
  <c r="C102" i="4"/>
  <c r="D101" i="4"/>
  <c r="C100" i="4"/>
  <c r="D99" i="4"/>
  <c r="C98" i="4"/>
  <c r="C96" i="4"/>
  <c r="C95" i="4"/>
  <c r="D94" i="4"/>
  <c r="C93" i="4"/>
  <c r="D92" i="4"/>
  <c r="C92" i="4"/>
  <c r="D91" i="4"/>
  <c r="C90" i="4"/>
  <c r="C89" i="4"/>
  <c r="D88" i="4"/>
  <c r="D87" i="4"/>
  <c r="D86" i="4"/>
  <c r="D85" i="4"/>
  <c r="C84" i="4"/>
  <c r="D83" i="4"/>
  <c r="C82" i="4"/>
  <c r="D81" i="4"/>
  <c r="D80" i="4"/>
  <c r="C79" i="4"/>
  <c r="D78" i="4"/>
  <c r="D77" i="4"/>
  <c r="C76" i="4"/>
  <c r="D75" i="4"/>
  <c r="D74" i="4"/>
  <c r="C73" i="4"/>
  <c r="D72" i="4"/>
  <c r="C71" i="4"/>
  <c r="D70" i="4"/>
  <c r="D69" i="4"/>
  <c r="C68" i="4"/>
  <c r="D67" i="4"/>
  <c r="C66" i="4"/>
  <c r="D65" i="4"/>
  <c r="D64" i="4"/>
  <c r="C63" i="4"/>
  <c r="D62" i="4"/>
  <c r="C61" i="4"/>
  <c r="D60" i="4"/>
  <c r="C60" i="4"/>
  <c r="C59" i="4"/>
  <c r="C58" i="4"/>
  <c r="C57" i="4"/>
  <c r="D56" i="4"/>
  <c r="C55" i="4"/>
  <c r="D54" i="4"/>
  <c r="D53" i="4"/>
  <c r="C52" i="4"/>
  <c r="D51" i="4"/>
  <c r="D50" i="4"/>
  <c r="C49" i="4"/>
  <c r="D48" i="4"/>
  <c r="D47" i="4"/>
  <c r="D46" i="4"/>
  <c r="D45" i="4"/>
  <c r="C44" i="4"/>
  <c r="D43" i="4"/>
  <c r="D42" i="4"/>
  <c r="D40" i="4"/>
  <c r="D39" i="4"/>
  <c r="C38" i="4"/>
  <c r="D37" i="4"/>
  <c r="C36" i="4"/>
  <c r="D35" i="4"/>
  <c r="C35" i="4"/>
  <c r="C34" i="4"/>
  <c r="D33" i="4"/>
  <c r="D32" i="4"/>
  <c r="C31" i="4"/>
  <c r="D30" i="4"/>
  <c r="C29" i="4"/>
  <c r="D28" i="4"/>
  <c r="D27" i="4"/>
  <c r="B25" i="3"/>
  <c r="B10" i="1" s="1"/>
  <c r="B9" i="3"/>
  <c r="B6" i="3"/>
  <c r="D576" i="4"/>
  <c r="C576" i="4"/>
  <c r="E576" i="4" s="1"/>
  <c r="D575" i="4"/>
  <c r="C575" i="4"/>
  <c r="D574" i="4"/>
  <c r="C574" i="4"/>
  <c r="E574" i="4" s="1"/>
  <c r="D573" i="4"/>
  <c r="C573" i="4"/>
  <c r="E573" i="4" s="1"/>
  <c r="D572" i="4"/>
  <c r="C572" i="4"/>
  <c r="D571" i="4"/>
  <c r="C571" i="4"/>
  <c r="E571" i="4" s="1"/>
  <c r="D570" i="4"/>
  <c r="C570" i="4"/>
  <c r="D569" i="4"/>
  <c r="C569" i="4"/>
  <c r="D568" i="4"/>
  <c r="C568" i="4"/>
  <c r="D567" i="4"/>
  <c r="C567" i="4"/>
  <c r="D566" i="4"/>
  <c r="C566" i="4"/>
  <c r="E566" i="4" s="1"/>
  <c r="D565" i="4"/>
  <c r="C565" i="4"/>
  <c r="D564" i="4"/>
  <c r="C564" i="4"/>
  <c r="D563" i="4"/>
  <c r="C563" i="4"/>
  <c r="E563" i="4" s="1"/>
  <c r="D562" i="4"/>
  <c r="C562" i="4"/>
  <c r="D561" i="4"/>
  <c r="C561" i="4"/>
  <c r="D560" i="4"/>
  <c r="C560" i="4"/>
  <c r="D559" i="4"/>
  <c r="C559" i="4"/>
  <c r="D558" i="4"/>
  <c r="C558" i="4"/>
  <c r="E558" i="4" s="1"/>
  <c r="D557" i="4"/>
  <c r="C557" i="4"/>
  <c r="D556" i="4"/>
  <c r="C556" i="4"/>
  <c r="E556" i="4" s="1"/>
  <c r="D555" i="4"/>
  <c r="C555" i="4"/>
  <c r="D554" i="4"/>
  <c r="C554" i="4"/>
  <c r="E554" i="4" s="1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E534" i="4" s="1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481" i="4"/>
  <c r="C480" i="4"/>
  <c r="D477" i="4"/>
  <c r="C477" i="4"/>
  <c r="C476" i="4"/>
  <c r="C475" i="4"/>
  <c r="C474" i="4"/>
  <c r="D473" i="4"/>
  <c r="C472" i="4"/>
  <c r="D471" i="4"/>
  <c r="C470" i="4"/>
  <c r="C469" i="4"/>
  <c r="D468" i="4"/>
  <c r="D467" i="4"/>
  <c r="D466" i="4"/>
  <c r="C465" i="4"/>
  <c r="C464" i="4"/>
  <c r="C463" i="4"/>
  <c r="D462" i="4"/>
  <c r="D461" i="4"/>
  <c r="D460" i="4"/>
  <c r="D459" i="4"/>
  <c r="D458" i="4"/>
  <c r="C457" i="4"/>
  <c r="C456" i="4"/>
  <c r="D455" i="4"/>
  <c r="C454" i="4"/>
  <c r="D453" i="4"/>
  <c r="D452" i="4"/>
  <c r="D451" i="4"/>
  <c r="C450" i="4"/>
  <c r="C449" i="4"/>
  <c r="C448" i="4"/>
  <c r="D447" i="4"/>
  <c r="C446" i="4"/>
  <c r="D445" i="4"/>
  <c r="D444" i="4"/>
  <c r="C443" i="4"/>
  <c r="C442" i="4"/>
  <c r="C441" i="4"/>
  <c r="C440" i="4"/>
  <c r="C439" i="4"/>
  <c r="D438" i="4"/>
  <c r="C437" i="4"/>
  <c r="C436" i="4"/>
  <c r="C435" i="4"/>
  <c r="D434" i="4"/>
  <c r="D433" i="4"/>
  <c r="D432" i="4"/>
  <c r="D431" i="4"/>
  <c r="D430" i="4"/>
  <c r="D429" i="4"/>
  <c r="C428" i="4"/>
  <c r="D427" i="4"/>
  <c r="C426" i="4"/>
  <c r="C425" i="4"/>
  <c r="D424" i="4"/>
  <c r="C423" i="4"/>
  <c r="D422" i="4"/>
  <c r="C421" i="4"/>
  <c r="D420" i="4"/>
  <c r="C419" i="4"/>
  <c r="D418" i="4"/>
  <c r="C417" i="4"/>
  <c r="D416" i="4"/>
  <c r="D415" i="4"/>
  <c r="C415" i="4"/>
  <c r="D414" i="4"/>
  <c r="C414" i="4"/>
  <c r="D413" i="4"/>
  <c r="C413" i="4"/>
  <c r="D412" i="4"/>
  <c r="C412" i="4"/>
  <c r="D411" i="4"/>
  <c r="C411" i="4"/>
  <c r="E411" i="4" s="1"/>
  <c r="D410" i="4"/>
  <c r="D409" i="4"/>
  <c r="C408" i="4"/>
  <c r="C407" i="4"/>
  <c r="D406" i="4"/>
  <c r="D405" i="4"/>
  <c r="D404" i="4"/>
  <c r="C403" i="4"/>
  <c r="D402" i="4"/>
  <c r="C401" i="4"/>
  <c r="C400" i="4"/>
  <c r="C399" i="4"/>
  <c r="D398" i="4"/>
  <c r="C397" i="4"/>
  <c r="D396" i="4"/>
  <c r="C395" i="4"/>
  <c r="D394" i="4"/>
  <c r="D393" i="4"/>
  <c r="D392" i="4"/>
  <c r="C391" i="4"/>
  <c r="C390" i="4"/>
  <c r="C389" i="4"/>
  <c r="D388" i="4"/>
  <c r="C387" i="4"/>
  <c r="D386" i="4"/>
  <c r="C385" i="4"/>
  <c r="D384" i="4"/>
  <c r="D383" i="4"/>
  <c r="C382" i="4"/>
  <c r="D381" i="4"/>
  <c r="D380" i="4"/>
  <c r="D379" i="4"/>
  <c r="C378" i="4"/>
  <c r="D377" i="4"/>
  <c r="D376" i="4"/>
  <c r="C375" i="4"/>
  <c r="D374" i="4"/>
  <c r="D373" i="4"/>
  <c r="C366" i="4"/>
  <c r="D365" i="4"/>
  <c r="C364" i="4"/>
  <c r="D363" i="4"/>
  <c r="C362" i="4"/>
  <c r="D361" i="4"/>
  <c r="D360" i="4"/>
  <c r="D359" i="4"/>
  <c r="C358" i="4"/>
  <c r="D357" i="4"/>
  <c r="C356" i="4"/>
  <c r="C355" i="4"/>
  <c r="D354" i="4"/>
  <c r="D353" i="4"/>
  <c r="D351" i="4"/>
  <c r="C350" i="4"/>
  <c r="D349" i="4"/>
  <c r="D348" i="4"/>
  <c r="C347" i="4"/>
  <c r="D346" i="4"/>
  <c r="D345" i="4"/>
  <c r="D344" i="4"/>
  <c r="C343" i="4"/>
  <c r="D342" i="4"/>
  <c r="C341" i="4"/>
  <c r="D340" i="4"/>
  <c r="D339" i="4"/>
  <c r="D338" i="4"/>
  <c r="C337" i="4"/>
  <c r="C336" i="4"/>
  <c r="D335" i="4"/>
  <c r="C334" i="4"/>
  <c r="D333" i="4"/>
  <c r="C332" i="4"/>
  <c r="C331" i="4"/>
  <c r="C330" i="4"/>
  <c r="C329" i="4"/>
  <c r="C328" i="4"/>
  <c r="D327" i="4"/>
  <c r="C326" i="4"/>
  <c r="D324" i="4"/>
  <c r="C323" i="4"/>
  <c r="C322" i="4"/>
  <c r="D321" i="4"/>
  <c r="D320" i="4"/>
  <c r="C319" i="4"/>
  <c r="C318" i="4"/>
  <c r="C317" i="4"/>
  <c r="D316" i="4"/>
  <c r="D315" i="4"/>
  <c r="D314" i="4"/>
  <c r="C313" i="4"/>
  <c r="D312" i="4"/>
  <c r="C312" i="4"/>
  <c r="E312" i="4" s="1"/>
  <c r="D311" i="4"/>
  <c r="C310" i="4"/>
  <c r="D309" i="4"/>
  <c r="C308" i="4"/>
  <c r="D307" i="4"/>
  <c r="C306" i="4"/>
  <c r="D305" i="4"/>
  <c r="D304" i="4"/>
  <c r="C303" i="4"/>
  <c r="D302" i="4"/>
  <c r="C301" i="4"/>
  <c r="D300" i="4"/>
  <c r="C299" i="4"/>
  <c r="D298" i="4"/>
  <c r="D297" i="4"/>
  <c r="D296" i="4"/>
  <c r="D295" i="4"/>
  <c r="C294" i="4"/>
  <c r="C293" i="4"/>
  <c r="D292" i="4"/>
  <c r="C291" i="4"/>
  <c r="C290" i="4"/>
  <c r="D289" i="4"/>
  <c r="C288" i="4"/>
  <c r="C287" i="4"/>
  <c r="D286" i="4"/>
  <c r="C285" i="4"/>
  <c r="D284" i="4"/>
  <c r="C283" i="4"/>
  <c r="D282" i="4"/>
  <c r="D281" i="4"/>
  <c r="D280" i="4"/>
  <c r="D279" i="4"/>
  <c r="C278" i="4"/>
  <c r="D277" i="4"/>
  <c r="C276" i="4"/>
  <c r="D275" i="4"/>
  <c r="D274" i="4"/>
  <c r="C273" i="4"/>
  <c r="C272" i="4"/>
  <c r="C271" i="4"/>
  <c r="D270" i="4"/>
  <c r="C269" i="4"/>
  <c r="D268" i="4"/>
  <c r="D267" i="4"/>
  <c r="D266" i="4"/>
  <c r="C265" i="4"/>
  <c r="C264" i="4"/>
  <c r="D263" i="4"/>
  <c r="D262" i="4"/>
  <c r="C261" i="4"/>
  <c r="C260" i="4"/>
  <c r="D259" i="4"/>
  <c r="C258" i="4"/>
  <c r="C257" i="4"/>
  <c r="D256" i="4"/>
  <c r="D255" i="4"/>
  <c r="D254" i="4"/>
  <c r="D253" i="4"/>
  <c r="C252" i="4"/>
  <c r="D251" i="4"/>
  <c r="C250" i="4"/>
  <c r="D249" i="4"/>
  <c r="C248" i="4"/>
  <c r="C246" i="4"/>
  <c r="C245" i="4"/>
  <c r="C244" i="4"/>
  <c r="C243" i="4"/>
  <c r="C242" i="4"/>
  <c r="C241" i="4"/>
  <c r="D240" i="4"/>
  <c r="D239" i="4"/>
  <c r="D238" i="4"/>
  <c r="D237" i="4"/>
  <c r="C236" i="4"/>
  <c r="D235" i="4"/>
  <c r="C234" i="4"/>
  <c r="D233" i="4"/>
  <c r="D232" i="4"/>
  <c r="C232" i="4"/>
  <c r="D231" i="4"/>
  <c r="D230" i="4"/>
  <c r="C229" i="4"/>
  <c r="C228" i="4"/>
  <c r="D227" i="4"/>
  <c r="C226" i="4"/>
  <c r="D225" i="4"/>
  <c r="D224" i="4"/>
  <c r="D223" i="4"/>
  <c r="D222" i="4"/>
  <c r="C221" i="4"/>
  <c r="C220" i="4"/>
  <c r="C219" i="4"/>
  <c r="D218" i="4"/>
  <c r="D217" i="4"/>
  <c r="D216" i="4"/>
  <c r="C215" i="4"/>
  <c r="C214" i="4"/>
  <c r="C213" i="4"/>
  <c r="D212" i="4"/>
  <c r="D211" i="4"/>
  <c r="D210" i="4"/>
  <c r="C209" i="4"/>
  <c r="C208" i="4"/>
  <c r="C207" i="4"/>
  <c r="C206" i="4"/>
  <c r="D205" i="4"/>
  <c r="D204" i="4"/>
  <c r="C203" i="4"/>
  <c r="C202" i="4"/>
  <c r="D201" i="4"/>
  <c r="D200" i="4"/>
  <c r="C199" i="4"/>
  <c r="C198" i="4"/>
  <c r="C197" i="4"/>
  <c r="D196" i="4"/>
  <c r="C195" i="4"/>
  <c r="D194" i="4"/>
  <c r="C193" i="4"/>
  <c r="C192" i="4"/>
  <c r="D191" i="4"/>
  <c r="D190" i="4"/>
  <c r="C190" i="4"/>
  <c r="D189" i="4"/>
  <c r="C189" i="4"/>
  <c r="E189" i="4" s="1"/>
  <c r="D188" i="4"/>
  <c r="C188" i="4"/>
  <c r="D187" i="4"/>
  <c r="C187" i="4"/>
  <c r="D186" i="4"/>
  <c r="C186" i="4"/>
  <c r="D185" i="4"/>
  <c r="C185" i="4"/>
  <c r="D184" i="4"/>
  <c r="C184" i="4"/>
  <c r="C183" i="4"/>
  <c r="D182" i="4"/>
  <c r="C181" i="4"/>
  <c r="C180" i="4"/>
  <c r="D179" i="4"/>
  <c r="D178" i="4"/>
  <c r="D177" i="4"/>
  <c r="C176" i="4"/>
  <c r="C175" i="4"/>
  <c r="D174" i="4"/>
  <c r="C173" i="4"/>
  <c r="D172" i="4"/>
  <c r="C171" i="4"/>
  <c r="D170" i="4"/>
  <c r="D169" i="4"/>
  <c r="D168" i="4"/>
  <c r="D167" i="4"/>
  <c r="D166" i="4"/>
  <c r="C165" i="4"/>
  <c r="C163" i="4"/>
  <c r="D162" i="4"/>
  <c r="D161" i="4"/>
  <c r="D160" i="4"/>
  <c r="C159" i="4"/>
  <c r="C158" i="4"/>
  <c r="D157" i="4"/>
  <c r="C156" i="4"/>
  <c r="D155" i="4"/>
  <c r="C154" i="4"/>
  <c r="C153" i="4"/>
  <c r="D152" i="4"/>
  <c r="C151" i="4"/>
  <c r="D150" i="4"/>
  <c r="C149" i="4"/>
  <c r="D148" i="4"/>
  <c r="C147" i="4"/>
  <c r="D146" i="4"/>
  <c r="C145" i="4"/>
  <c r="C144" i="4"/>
  <c r="C132" i="4"/>
  <c r="D131" i="4"/>
  <c r="D129" i="4"/>
  <c r="C128" i="4"/>
  <c r="C127" i="4"/>
  <c r="D126" i="4"/>
  <c r="C125" i="4"/>
  <c r="C124" i="4"/>
  <c r="C123" i="4"/>
  <c r="D122" i="4"/>
  <c r="C121" i="4"/>
  <c r="C120" i="4"/>
  <c r="D119" i="4"/>
  <c r="C118" i="4"/>
  <c r="D117" i="4"/>
  <c r="C116" i="4"/>
  <c r="C115" i="4"/>
  <c r="D114" i="4"/>
  <c r="D113" i="4"/>
  <c r="C112" i="4"/>
  <c r="C111" i="4"/>
  <c r="D110" i="4"/>
  <c r="D109" i="4"/>
  <c r="C108" i="4"/>
  <c r="D107" i="4"/>
  <c r="D106" i="4"/>
  <c r="C105" i="4"/>
  <c r="D104" i="4"/>
  <c r="C103" i="4"/>
  <c r="D102" i="4"/>
  <c r="C101" i="4"/>
  <c r="D100" i="4"/>
  <c r="C99" i="4"/>
  <c r="D98" i="4"/>
  <c r="D97" i="4"/>
  <c r="C97" i="4"/>
  <c r="D96" i="4"/>
  <c r="D95" i="4"/>
  <c r="C94" i="4"/>
  <c r="D93" i="4"/>
  <c r="C91" i="4"/>
  <c r="D90" i="4"/>
  <c r="D89" i="4"/>
  <c r="C88" i="4"/>
  <c r="C87" i="4"/>
  <c r="C86" i="4"/>
  <c r="C85" i="4"/>
  <c r="D84" i="4"/>
  <c r="C83" i="4"/>
  <c r="D82" i="4"/>
  <c r="C81" i="4"/>
  <c r="C80" i="4"/>
  <c r="D79" i="4"/>
  <c r="C78" i="4"/>
  <c r="C77" i="4"/>
  <c r="D76" i="4"/>
  <c r="C75" i="4"/>
  <c r="C74" i="4"/>
  <c r="D73" i="4"/>
  <c r="C72" i="4"/>
  <c r="D71" i="4"/>
  <c r="C70" i="4"/>
  <c r="C69" i="4"/>
  <c r="D68" i="4"/>
  <c r="C67" i="4"/>
  <c r="D66" i="4"/>
  <c r="C65" i="4"/>
  <c r="C64" i="4"/>
  <c r="D63" i="4"/>
  <c r="C62" i="4"/>
  <c r="D61" i="4"/>
  <c r="D59" i="4"/>
  <c r="D58" i="4"/>
  <c r="D57" i="4"/>
  <c r="C56" i="4"/>
  <c r="D55" i="4"/>
  <c r="C54" i="4"/>
  <c r="C53" i="4"/>
  <c r="D52" i="4"/>
  <c r="C51" i="4"/>
  <c r="C50" i="4"/>
  <c r="D49" i="4"/>
  <c r="C48" i="4"/>
  <c r="C47" i="4"/>
  <c r="C46" i="4"/>
  <c r="C45" i="4"/>
  <c r="D44" i="4"/>
  <c r="C43" i="4"/>
  <c r="C42" i="4"/>
  <c r="D41" i="4"/>
  <c r="C41" i="4"/>
  <c r="C40" i="4"/>
  <c r="C39" i="4"/>
  <c r="D38" i="4"/>
  <c r="C37" i="4"/>
  <c r="D36" i="4"/>
  <c r="D34" i="4"/>
  <c r="C33" i="4"/>
  <c r="C32" i="4"/>
  <c r="D31" i="4"/>
  <c r="C30" i="4"/>
  <c r="D29" i="4"/>
  <c r="C28" i="4"/>
  <c r="C27" i="4"/>
  <c r="D26" i="4"/>
  <c r="C26" i="4"/>
  <c r="E484" i="4" l="1"/>
  <c r="E138" i="4"/>
  <c r="E135" i="4"/>
  <c r="E604" i="4"/>
  <c r="E581" i="4"/>
  <c r="E578" i="4"/>
  <c r="E577" i="4"/>
  <c r="E516" i="4"/>
  <c r="E512" i="4"/>
  <c r="E510" i="4"/>
  <c r="E505" i="4"/>
  <c r="E498" i="4"/>
  <c r="E485" i="4"/>
  <c r="E482" i="4"/>
  <c r="E247" i="4"/>
  <c r="E139" i="4"/>
  <c r="E136" i="4"/>
  <c r="E511" i="4"/>
  <c r="E190" i="4"/>
  <c r="E164" i="4"/>
  <c r="E506" i="4"/>
  <c r="E489" i="4"/>
  <c r="E535" i="4"/>
  <c r="E567" i="4"/>
  <c r="E552" i="4"/>
  <c r="E530" i="4"/>
  <c r="E187" i="4"/>
  <c r="E603" i="4"/>
  <c r="E580" i="4"/>
  <c r="E503" i="4"/>
  <c r="E372" i="4"/>
  <c r="E370" i="4"/>
  <c r="E369" i="4"/>
  <c r="E543" i="4"/>
  <c r="E542" i="4"/>
  <c r="E560" i="4"/>
  <c r="E532" i="4"/>
  <c r="E526" i="4"/>
  <c r="E588" i="4"/>
  <c r="E517" i="4"/>
  <c r="E134" i="4"/>
  <c r="E549" i="4"/>
  <c r="E539" i="4"/>
  <c r="E492" i="4"/>
  <c r="E352" i="4"/>
  <c r="E531" i="4"/>
  <c r="E527" i="4"/>
  <c r="E520" i="4"/>
  <c r="E572" i="4"/>
  <c r="E562" i="4"/>
  <c r="E559" i="4"/>
  <c r="E557" i="4"/>
  <c r="E555" i="4"/>
  <c r="E551" i="4"/>
  <c r="E522" i="4"/>
  <c r="E188" i="4"/>
  <c r="E184" i="4"/>
  <c r="E35" i="4"/>
  <c r="E575" i="4"/>
  <c r="E561" i="4"/>
  <c r="E553" i="4"/>
  <c r="E550" i="4"/>
  <c r="E547" i="4"/>
  <c r="E546" i="4"/>
  <c r="E185" i="4"/>
  <c r="E601" i="4"/>
  <c r="E596" i="4"/>
  <c r="E595" i="4"/>
  <c r="E585" i="4"/>
  <c r="E515" i="4"/>
  <c r="E504" i="4"/>
  <c r="E483" i="4"/>
  <c r="E60" i="4"/>
  <c r="E564" i="4"/>
  <c r="E529" i="4"/>
  <c r="E528" i="4"/>
  <c r="E521" i="4"/>
  <c r="E599" i="4"/>
  <c r="E597" i="4"/>
  <c r="E513" i="4"/>
  <c r="E509" i="4"/>
  <c r="E502" i="4"/>
  <c r="E497" i="4"/>
  <c r="E494" i="4"/>
  <c r="E478" i="4"/>
  <c r="E325" i="4"/>
  <c r="E493" i="4"/>
  <c r="E480" i="4"/>
  <c r="E474" i="4"/>
  <c r="E470" i="4"/>
  <c r="E464" i="4"/>
  <c r="E457" i="4"/>
  <c r="E454" i="4"/>
  <c r="E450" i="4"/>
  <c r="E449" i="4"/>
  <c r="E442" i="4"/>
  <c r="E441" i="4"/>
  <c r="E439" i="4"/>
  <c r="E437" i="4"/>
  <c r="E436" i="4"/>
  <c r="E428" i="4"/>
  <c r="E426" i="4"/>
  <c r="E423" i="4"/>
  <c r="E421" i="4"/>
  <c r="E419" i="4"/>
  <c r="E407" i="4"/>
  <c r="E403" i="4"/>
  <c r="E401" i="4"/>
  <c r="E390" i="4"/>
  <c r="E387" i="4"/>
  <c r="E382" i="4"/>
  <c r="E375" i="4"/>
  <c r="E364" i="4"/>
  <c r="E358" i="4"/>
  <c r="E356" i="4"/>
  <c r="E350" i="4"/>
  <c r="E347" i="4"/>
  <c r="E343" i="4"/>
  <c r="E336" i="4"/>
  <c r="E334" i="4"/>
  <c r="E331" i="4"/>
  <c r="E329" i="4"/>
  <c r="E326" i="4"/>
  <c r="E323" i="4"/>
  <c r="E318" i="4"/>
  <c r="E310" i="4"/>
  <c r="E306" i="4"/>
  <c r="E303" i="4"/>
  <c r="E301" i="4"/>
  <c r="E299" i="4"/>
  <c r="E294" i="4"/>
  <c r="E290" i="4"/>
  <c r="E288" i="4"/>
  <c r="E273" i="4"/>
  <c r="E271" i="4"/>
  <c r="E269" i="4"/>
  <c r="E265" i="4"/>
  <c r="E264" i="4"/>
  <c r="E261" i="4"/>
  <c r="E257" i="4"/>
  <c r="E250" i="4"/>
  <c r="E248" i="4"/>
  <c r="E245" i="4"/>
  <c r="E242" i="4"/>
  <c r="E236" i="4"/>
  <c r="E234" i="4"/>
  <c r="E229" i="4"/>
  <c r="E221" i="4"/>
  <c r="E219" i="4"/>
  <c r="E214" i="4"/>
  <c r="E209" i="4"/>
  <c r="E207" i="4"/>
  <c r="E202" i="4"/>
  <c r="E198" i="4"/>
  <c r="E476" i="4"/>
  <c r="E475" i="4"/>
  <c r="E472" i="4"/>
  <c r="E469" i="4"/>
  <c r="E465" i="4"/>
  <c r="E463" i="4"/>
  <c r="E456" i="4"/>
  <c r="E448" i="4"/>
  <c r="E446" i="4"/>
  <c r="E443" i="4"/>
  <c r="E440" i="4"/>
  <c r="E435" i="4"/>
  <c r="E425" i="4"/>
  <c r="E417" i="4"/>
  <c r="E408" i="4"/>
  <c r="E400" i="4"/>
  <c r="E399" i="4"/>
  <c r="E397" i="4"/>
  <c r="E395" i="4"/>
  <c r="E391" i="4"/>
  <c r="E389" i="4"/>
  <c r="E385" i="4"/>
  <c r="E378" i="4"/>
  <c r="E366" i="4"/>
  <c r="E362" i="4"/>
  <c r="E355" i="4"/>
  <c r="E341" i="4"/>
  <c r="E337" i="4"/>
  <c r="E332" i="4"/>
  <c r="E330" i="4"/>
  <c r="E328" i="4"/>
  <c r="E322" i="4"/>
  <c r="E319" i="4"/>
  <c r="E317" i="4"/>
  <c r="E313" i="4"/>
  <c r="E308" i="4"/>
  <c r="E293" i="4"/>
  <c r="E291" i="4"/>
  <c r="E287" i="4"/>
  <c r="E285" i="4"/>
  <c r="E283" i="4"/>
  <c r="E278" i="4"/>
  <c r="E276" i="4"/>
  <c r="E272" i="4"/>
  <c r="E260" i="4"/>
  <c r="E258" i="4"/>
  <c r="E252" i="4"/>
  <c r="E246" i="4"/>
  <c r="E244" i="4"/>
  <c r="E243" i="4"/>
  <c r="E241" i="4"/>
  <c r="E228" i="4"/>
  <c r="E226" i="4"/>
  <c r="E220" i="4"/>
  <c r="E215" i="4"/>
  <c r="E213" i="4"/>
  <c r="E208" i="4"/>
  <c r="E206" i="4"/>
  <c r="E203" i="4"/>
  <c r="E199" i="4"/>
  <c r="E197" i="4"/>
  <c r="E496" i="4"/>
  <c r="E490" i="4"/>
  <c r="E487" i="4"/>
  <c r="E486" i="4"/>
  <c r="E232" i="4"/>
  <c r="E41" i="4"/>
  <c r="E97" i="4"/>
  <c r="E479" i="4"/>
  <c r="E371" i="4"/>
  <c r="E141" i="4"/>
  <c r="E92" i="4"/>
  <c r="E548" i="4"/>
  <c r="E544" i="4"/>
  <c r="E541" i="4"/>
  <c r="E536" i="4"/>
  <c r="E533" i="4"/>
  <c r="E523" i="4"/>
  <c r="E415" i="4"/>
  <c r="E413" i="4"/>
  <c r="E186" i="4"/>
  <c r="E140" i="4"/>
  <c r="E545" i="4"/>
  <c r="E540" i="4"/>
  <c r="E538" i="4"/>
  <c r="E537" i="4"/>
  <c r="E525" i="4"/>
  <c r="E524" i="4"/>
  <c r="E519" i="4"/>
  <c r="E414" i="4"/>
  <c r="E412" i="4"/>
  <c r="E195" i="4"/>
  <c r="E193" i="4"/>
  <c r="E192" i="4"/>
  <c r="E183" i="4"/>
  <c r="E181" i="4"/>
  <c r="E180" i="4"/>
  <c r="E176" i="4"/>
  <c r="E175" i="4"/>
  <c r="E173" i="4"/>
  <c r="E171" i="4"/>
  <c r="E165" i="4"/>
  <c r="E163" i="4"/>
  <c r="E159" i="4"/>
  <c r="E158" i="4"/>
  <c r="E156" i="4"/>
  <c r="E154" i="4"/>
  <c r="E153" i="4"/>
  <c r="E151" i="4"/>
  <c r="E149" i="4"/>
  <c r="E147" i="4"/>
  <c r="E145" i="4"/>
  <c r="E144" i="4"/>
  <c r="E132" i="4"/>
  <c r="E128" i="4"/>
  <c r="E127" i="4"/>
  <c r="E125" i="4"/>
  <c r="E124" i="4"/>
  <c r="E123" i="4"/>
  <c r="E121" i="4"/>
  <c r="E120" i="4"/>
  <c r="E118" i="4"/>
  <c r="E116" i="4"/>
  <c r="E115" i="4"/>
  <c r="E112" i="4"/>
  <c r="E111" i="4"/>
  <c r="E108" i="4"/>
  <c r="E105" i="4"/>
  <c r="E103" i="4"/>
  <c r="E101" i="4"/>
  <c r="E589" i="4"/>
  <c r="E565" i="4"/>
  <c r="E99" i="4"/>
  <c r="E94" i="4"/>
  <c r="E91" i="4"/>
  <c r="E88" i="4"/>
  <c r="E87" i="4"/>
  <c r="E86" i="4"/>
  <c r="E85" i="4"/>
  <c r="E83" i="4"/>
  <c r="E81" i="4"/>
  <c r="E80" i="4"/>
  <c r="E78" i="4"/>
  <c r="E77" i="4"/>
  <c r="E75" i="4"/>
  <c r="E74" i="4"/>
  <c r="E72" i="4"/>
  <c r="E70" i="4"/>
  <c r="E69" i="4"/>
  <c r="E67" i="4"/>
  <c r="E65" i="4"/>
  <c r="E64" i="4"/>
  <c r="E62" i="4"/>
  <c r="E56" i="4"/>
  <c r="E54" i="4"/>
  <c r="E53" i="4"/>
  <c r="E51" i="4"/>
  <c r="E50" i="4"/>
  <c r="E48" i="4"/>
  <c r="E47" i="4"/>
  <c r="E46" i="4"/>
  <c r="E45" i="4"/>
  <c r="E43" i="4"/>
  <c r="E42" i="4"/>
  <c r="E40" i="4"/>
  <c r="E39" i="4"/>
  <c r="E37" i="4"/>
  <c r="E33" i="4"/>
  <c r="E32" i="4"/>
  <c r="E30" i="4"/>
  <c r="E28" i="4"/>
  <c r="E27" i="4"/>
  <c r="E569" i="4"/>
  <c r="E568" i="4"/>
  <c r="E477" i="4"/>
  <c r="E26" i="4"/>
  <c r="B10" i="3"/>
  <c r="B16" i="3"/>
  <c r="B11" i="1" s="1"/>
  <c r="E495" i="4"/>
  <c r="E481" i="4"/>
  <c r="E473" i="4"/>
  <c r="E471" i="4"/>
  <c r="E468" i="4"/>
  <c r="E467" i="4"/>
  <c r="E466" i="4"/>
  <c r="E462" i="4"/>
  <c r="E461" i="4"/>
  <c r="E460" i="4"/>
  <c r="E459" i="4"/>
  <c r="E458" i="4"/>
  <c r="E455" i="4"/>
  <c r="E453" i="4"/>
  <c r="E452" i="4"/>
  <c r="E451" i="4"/>
  <c r="E447" i="4"/>
  <c r="E445" i="4"/>
  <c r="E444" i="4"/>
  <c r="E438" i="4"/>
  <c r="E434" i="4"/>
  <c r="E433" i="4"/>
  <c r="E432" i="4"/>
  <c r="E431" i="4"/>
  <c r="E430" i="4"/>
  <c r="E429" i="4"/>
  <c r="E427" i="4"/>
  <c r="E424" i="4"/>
  <c r="E422" i="4"/>
  <c r="E420" i="4"/>
  <c r="E418" i="4"/>
  <c r="E416" i="4"/>
  <c r="E410" i="4"/>
  <c r="E409" i="4"/>
  <c r="E406" i="4"/>
  <c r="E405" i="4"/>
  <c r="E404" i="4"/>
  <c r="E402" i="4"/>
  <c r="E398" i="4"/>
  <c r="E396" i="4"/>
  <c r="E295" i="4"/>
  <c r="E292" i="4"/>
  <c r="E289" i="4"/>
  <c r="E286" i="4"/>
  <c r="E284" i="4"/>
  <c r="E282" i="4"/>
  <c r="E281" i="4"/>
  <c r="E280" i="4"/>
  <c r="E279" i="4"/>
  <c r="E277" i="4"/>
  <c r="E275" i="4"/>
  <c r="E274" i="4"/>
  <c r="E270" i="4"/>
  <c r="E268" i="4"/>
  <c r="E267" i="4"/>
  <c r="E266" i="4"/>
  <c r="E263" i="4"/>
  <c r="E262" i="4"/>
  <c r="E259" i="4"/>
  <c r="E256" i="4"/>
  <c r="E255" i="4"/>
  <c r="E254" i="4"/>
  <c r="E253" i="4"/>
  <c r="E251" i="4"/>
  <c r="E239" i="4"/>
  <c r="E237" i="4"/>
  <c r="E233" i="4"/>
  <c r="E224" i="4"/>
  <c r="E217" i="4"/>
  <c r="E212" i="4"/>
  <c r="E210" i="4"/>
  <c r="E205" i="4"/>
  <c r="E201" i="4"/>
  <c r="E182" i="4"/>
  <c r="E179" i="4"/>
  <c r="E177" i="4"/>
  <c r="E174" i="4"/>
  <c r="E169" i="4"/>
  <c r="E167" i="4"/>
  <c r="E162" i="4"/>
  <c r="E157" i="4"/>
  <c r="E155" i="4"/>
  <c r="E152" i="4"/>
  <c r="E150" i="4"/>
  <c r="E130" i="4"/>
  <c r="E129" i="4"/>
  <c r="E126" i="4"/>
  <c r="E122" i="4"/>
  <c r="E119" i="4"/>
  <c r="E117" i="4"/>
  <c r="E114" i="4"/>
  <c r="E110" i="4"/>
  <c r="E109" i="4"/>
  <c r="E104" i="4"/>
  <c r="E95" i="4"/>
  <c r="E90" i="4"/>
  <c r="E82" i="4"/>
  <c r="E76" i="4"/>
  <c r="E68" i="4"/>
  <c r="E66" i="4"/>
  <c r="E63" i="4"/>
  <c r="E49" i="4"/>
  <c r="E38" i="4"/>
  <c r="E34" i="4"/>
  <c r="E31" i="4"/>
  <c r="E29" i="4"/>
  <c r="B17" i="3"/>
  <c r="B8" i="3"/>
  <c r="B7" i="3"/>
  <c r="E570" i="4"/>
  <c r="E394" i="4"/>
  <c r="E393" i="4"/>
  <c r="E392" i="4"/>
  <c r="E388" i="4"/>
  <c r="E386" i="4"/>
  <c r="E384" i="4"/>
  <c r="E383" i="4"/>
  <c r="E381" i="4"/>
  <c r="E380" i="4"/>
  <c r="E379" i="4"/>
  <c r="E377" i="4"/>
  <c r="E376" i="4"/>
  <c r="E374" i="4"/>
  <c r="E373" i="4"/>
  <c r="E365" i="4"/>
  <c r="E363" i="4"/>
  <c r="E361" i="4"/>
  <c r="E360" i="4"/>
  <c r="E359" i="4"/>
  <c r="E357" i="4"/>
  <c r="E354" i="4"/>
  <c r="E353" i="4"/>
  <c r="E351" i="4"/>
  <c r="E349" i="4"/>
  <c r="E348" i="4"/>
  <c r="E346" i="4"/>
  <c r="E345" i="4"/>
  <c r="E344" i="4"/>
  <c r="E342" i="4"/>
  <c r="E340" i="4"/>
  <c r="E339" i="4"/>
  <c r="E338" i="4"/>
  <c r="E335" i="4"/>
  <c r="E333" i="4"/>
  <c r="E327" i="4"/>
  <c r="E324" i="4"/>
  <c r="E321" i="4"/>
  <c r="E320" i="4"/>
  <c r="E316" i="4"/>
  <c r="E315" i="4"/>
  <c r="E314" i="4"/>
  <c r="E311" i="4"/>
  <c r="E309" i="4"/>
  <c r="E307" i="4"/>
  <c r="E305" i="4"/>
  <c r="E304" i="4"/>
  <c r="E302" i="4"/>
  <c r="E300" i="4"/>
  <c r="E298" i="4"/>
  <c r="E297" i="4"/>
  <c r="E296" i="4"/>
  <c r="E249" i="4"/>
  <c r="E240" i="4"/>
  <c r="E238" i="4"/>
  <c r="E235" i="4"/>
  <c r="E231" i="4"/>
  <c r="E230" i="4"/>
  <c r="E227" i="4"/>
  <c r="E225" i="4"/>
  <c r="E223" i="4"/>
  <c r="E222" i="4"/>
  <c r="E218" i="4"/>
  <c r="E216" i="4"/>
  <c r="E211" i="4"/>
  <c r="E204" i="4"/>
  <c r="E200" i="4"/>
  <c r="E196" i="4"/>
  <c r="E194" i="4"/>
  <c r="E191" i="4"/>
  <c r="E178" i="4"/>
  <c r="E172" i="4"/>
  <c r="E170" i="4"/>
  <c r="E168" i="4"/>
  <c r="E166" i="4"/>
  <c r="E161" i="4"/>
  <c r="E160" i="4"/>
  <c r="E148" i="4"/>
  <c r="E146" i="4"/>
  <c r="E131" i="4"/>
  <c r="E113" i="4"/>
  <c r="E107" i="4"/>
  <c r="E106" i="4"/>
  <c r="E102" i="4"/>
  <c r="E100" i="4"/>
  <c r="E98" i="4"/>
  <c r="E96" i="4"/>
  <c r="E93" i="4"/>
  <c r="E89" i="4"/>
  <c r="E84" i="4"/>
  <c r="E79" i="4"/>
  <c r="E73" i="4"/>
  <c r="E71" i="4"/>
  <c r="E61" i="4"/>
  <c r="E59" i="4"/>
  <c r="E58" i="4"/>
  <c r="E57" i="4"/>
  <c r="E55" i="4"/>
  <c r="E52" i="4"/>
  <c r="E44" i="4"/>
  <c r="E36" i="4"/>
  <c r="B29" i="3" l="1"/>
  <c r="B11" i="3"/>
  <c r="B19" i="3"/>
  <c r="B13" i="1" s="1"/>
  <c r="C17" i="4" l="1"/>
  <c r="C25" i="4"/>
  <c r="C23" i="4"/>
  <c r="C21" i="4"/>
  <c r="C20" i="4"/>
  <c r="C18" i="4"/>
  <c r="C24" i="4"/>
  <c r="C22" i="4"/>
  <c r="C19" i="4"/>
  <c r="C16" i="4"/>
  <c r="C14" i="4"/>
  <c r="C13" i="4"/>
  <c r="C15" i="4"/>
  <c r="F13" i="1"/>
  <c r="C12" i="4"/>
  <c r="C11" i="4"/>
  <c r="B20" i="3"/>
  <c r="C9" i="4"/>
  <c r="C10" i="4"/>
  <c r="C7" i="4"/>
  <c r="C8" i="4"/>
  <c r="B14" i="3"/>
  <c r="B18" i="3"/>
  <c r="C6" i="4"/>
  <c r="C8" i="7" l="1"/>
  <c r="C9" i="7"/>
  <c r="C10" i="7"/>
  <c r="C11" i="7"/>
  <c r="C12" i="7"/>
  <c r="C13" i="7"/>
  <c r="C14" i="7"/>
  <c r="C15" i="7"/>
  <c r="C16" i="7"/>
  <c r="C17" i="7"/>
  <c r="C18" i="7"/>
  <c r="C19" i="7"/>
  <c r="C20" i="7"/>
  <c r="C7" i="7"/>
  <c r="C6" i="7"/>
  <c r="D25" i="4"/>
  <c r="E25" i="4" s="1"/>
  <c r="D21" i="4"/>
  <c r="E21" i="4" s="1"/>
  <c r="D24" i="4"/>
  <c r="E24" i="4" s="1"/>
  <c r="D22" i="4"/>
  <c r="E22" i="4" s="1"/>
  <c r="D19" i="4"/>
  <c r="E19" i="4" s="1"/>
  <c r="D17" i="4"/>
  <c r="E17" i="4" s="1"/>
  <c r="D16" i="4"/>
  <c r="E16" i="4" s="1"/>
  <c r="D23" i="4"/>
  <c r="E23" i="4" s="1"/>
  <c r="D20" i="4"/>
  <c r="E20" i="4" s="1"/>
  <c r="D18" i="4"/>
  <c r="E18" i="4" s="1"/>
  <c r="B14" i="1"/>
  <c r="D15" i="4"/>
  <c r="E15" i="4" s="1"/>
  <c r="D14" i="4"/>
  <c r="E14" i="4" s="1"/>
  <c r="D13" i="4"/>
  <c r="E13" i="4" s="1"/>
  <c r="D12" i="4"/>
  <c r="E12" i="4" s="1"/>
  <c r="D11" i="4"/>
  <c r="E11" i="4" s="1"/>
  <c r="B8" i="1"/>
  <c r="B15" i="3"/>
  <c r="D9" i="4"/>
  <c r="E9" i="4" s="1"/>
  <c r="D10" i="4"/>
  <c r="E10" i="4" s="1"/>
  <c r="B12" i="1"/>
  <c r="D10" i="6"/>
  <c r="D9" i="6"/>
  <c r="D8" i="6"/>
  <c r="D7" i="6"/>
  <c r="D6" i="6"/>
  <c r="D8" i="4"/>
  <c r="E8" i="4" s="1"/>
  <c r="D6" i="4"/>
  <c r="E6" i="4" s="1"/>
  <c r="D7" i="4"/>
  <c r="E7" i="4" s="1"/>
  <c r="G13" i="7" l="1"/>
  <c r="G8" i="7"/>
  <c r="H13" i="7"/>
  <c r="G14" i="7"/>
  <c r="H14" i="7"/>
  <c r="G15" i="7"/>
  <c r="H15" i="7"/>
  <c r="H8" i="7"/>
  <c r="G9" i="7"/>
  <c r="H9" i="7"/>
  <c r="G10" i="7"/>
  <c r="H10" i="7"/>
  <c r="H11" i="7"/>
  <c r="G12" i="7"/>
  <c r="H12" i="7"/>
  <c r="G11" i="7"/>
  <c r="F7" i="4"/>
  <c r="G7" i="4" s="1"/>
  <c r="F451" i="4"/>
  <c r="G451" i="4" s="1"/>
  <c r="F458" i="4"/>
  <c r="G458" i="4" s="1"/>
  <c r="F460" i="4"/>
  <c r="G460" i="4" s="1"/>
  <c r="F462" i="4"/>
  <c r="G462" i="4" s="1"/>
  <c r="F467" i="4"/>
  <c r="G467" i="4" s="1"/>
  <c r="F471" i="4"/>
  <c r="G471" i="4" s="1"/>
  <c r="F481" i="4"/>
  <c r="G481" i="4" s="1"/>
  <c r="F495" i="4"/>
  <c r="G495" i="4" s="1"/>
  <c r="F11" i="4"/>
  <c r="G11" i="4" s="1"/>
  <c r="F14" i="4"/>
  <c r="G14" i="4" s="1"/>
  <c r="F20" i="4"/>
  <c r="G20" i="4" s="1"/>
  <c r="F36" i="4"/>
  <c r="G36" i="4" s="1"/>
  <c r="F52" i="4"/>
  <c r="G52" i="4" s="1"/>
  <c r="F57" i="4"/>
  <c r="G57" i="4" s="1"/>
  <c r="F59" i="4"/>
  <c r="G59" i="4" s="1"/>
  <c r="G7" i="7"/>
  <c r="H7" i="7"/>
  <c r="G16" i="7"/>
  <c r="H16" i="7"/>
  <c r="G17" i="7"/>
  <c r="H17" i="7"/>
  <c r="G18" i="7"/>
  <c r="H18" i="7"/>
  <c r="G19" i="7"/>
  <c r="H19" i="7"/>
  <c r="G20" i="7"/>
  <c r="H20" i="7"/>
  <c r="F71" i="4"/>
  <c r="G71" i="4" s="1"/>
  <c r="F79" i="4"/>
  <c r="G79" i="4" s="1"/>
  <c r="F89" i="4"/>
  <c r="G89" i="4" s="1"/>
  <c r="F96" i="4"/>
  <c r="G96" i="4" s="1"/>
  <c r="F100" i="4"/>
  <c r="G100" i="4" s="1"/>
  <c r="F106" i="4"/>
  <c r="G106" i="4" s="1"/>
  <c r="F113" i="4"/>
  <c r="G113" i="4" s="1"/>
  <c r="F146" i="4"/>
  <c r="G146" i="4" s="1"/>
  <c r="F160" i="4"/>
  <c r="G160" i="4" s="1"/>
  <c r="F432" i="4"/>
  <c r="G432" i="4" s="1"/>
  <c r="F433" i="4"/>
  <c r="G433" i="4" s="1"/>
  <c r="F434" i="4"/>
  <c r="G434" i="4" s="1"/>
  <c r="F438" i="4"/>
  <c r="G438" i="4" s="1"/>
  <c r="F444" i="4"/>
  <c r="G444" i="4" s="1"/>
  <c r="F445" i="4"/>
  <c r="G445" i="4" s="1"/>
  <c r="F35" i="4"/>
  <c r="G35" i="4" s="1"/>
  <c r="F60" i="4"/>
  <c r="G60" i="4" s="1"/>
  <c r="F134" i="4"/>
  <c r="G134" i="4" s="1"/>
  <c r="F166" i="4"/>
  <c r="G166" i="4" s="1"/>
  <c r="F170" i="4"/>
  <c r="G170" i="4" s="1"/>
  <c r="F178" i="4"/>
  <c r="G178" i="4" s="1"/>
  <c r="F194" i="4"/>
  <c r="G194" i="4" s="1"/>
  <c r="F200" i="4"/>
  <c r="G200" i="4" s="1"/>
  <c r="F211" i="4"/>
  <c r="G211" i="4" s="1"/>
  <c r="F218" i="4"/>
  <c r="G218" i="4" s="1"/>
  <c r="F223" i="4"/>
  <c r="G223" i="4" s="1"/>
  <c r="F225" i="4"/>
  <c r="G225" i="4" s="1"/>
  <c r="F231" i="4"/>
  <c r="G231" i="4" s="1"/>
  <c r="F238" i="4"/>
  <c r="G238" i="4" s="1"/>
  <c r="F249" i="4"/>
  <c r="G249" i="4" s="1"/>
  <c r="F297" i="4"/>
  <c r="G297" i="4" s="1"/>
  <c r="F300" i="4"/>
  <c r="G300" i="4" s="1"/>
  <c r="F304" i="4"/>
  <c r="G304" i="4" s="1"/>
  <c r="F307" i="4"/>
  <c r="G307" i="4" s="1"/>
  <c r="F311" i="4"/>
  <c r="G311" i="4" s="1"/>
  <c r="F314" i="4"/>
  <c r="G314" i="4" s="1"/>
  <c r="F316" i="4"/>
  <c r="G316" i="4" s="1"/>
  <c r="F321" i="4"/>
  <c r="G321" i="4" s="1"/>
  <c r="F327" i="4"/>
  <c r="G327" i="4" s="1"/>
  <c r="F333" i="4"/>
  <c r="G333" i="4" s="1"/>
  <c r="F335" i="4"/>
  <c r="G335" i="4" s="1"/>
  <c r="F338" i="4"/>
  <c r="G338" i="4" s="1"/>
  <c r="F339" i="4"/>
  <c r="G339" i="4" s="1"/>
  <c r="F340" i="4"/>
  <c r="G340" i="4" s="1"/>
  <c r="F342" i="4"/>
  <c r="G342" i="4" s="1"/>
  <c r="F344" i="4"/>
  <c r="G344" i="4" s="1"/>
  <c r="F345" i="4"/>
  <c r="G345" i="4" s="1"/>
  <c r="F346" i="4"/>
  <c r="G346" i="4" s="1"/>
  <c r="F348" i="4"/>
  <c r="G348" i="4" s="1"/>
  <c r="F349" i="4"/>
  <c r="G349" i="4" s="1"/>
  <c r="F305" i="4"/>
  <c r="G305" i="4" s="1"/>
  <c r="F309" i="4"/>
  <c r="G309" i="4" s="1"/>
  <c r="F315" i="4"/>
  <c r="G315" i="4" s="1"/>
  <c r="F320" i="4"/>
  <c r="G320" i="4" s="1"/>
  <c r="F324" i="4"/>
  <c r="G324" i="4" s="1"/>
  <c r="F21" i="4"/>
  <c r="G21" i="4" s="1"/>
  <c r="F29" i="4"/>
  <c r="G29" i="4" s="1"/>
  <c r="F34" i="4"/>
  <c r="G34" i="4" s="1"/>
  <c r="F49" i="4"/>
  <c r="G49" i="4" s="1"/>
  <c r="F66" i="4"/>
  <c r="G66" i="4" s="1"/>
  <c r="F76" i="4"/>
  <c r="G76" i="4" s="1"/>
  <c r="F90" i="4"/>
  <c r="G90" i="4" s="1"/>
  <c r="F104" i="4"/>
  <c r="G104" i="4" s="1"/>
  <c r="F110" i="4"/>
  <c r="G110" i="4" s="1"/>
  <c r="F117" i="4"/>
  <c r="G117" i="4" s="1"/>
  <c r="F122" i="4"/>
  <c r="G122" i="4" s="1"/>
  <c r="F129" i="4"/>
  <c r="G129" i="4" s="1"/>
  <c r="F150" i="4"/>
  <c r="G150" i="4" s="1"/>
  <c r="F157" i="4"/>
  <c r="G157" i="4" s="1"/>
  <c r="F167" i="4"/>
  <c r="G167" i="4" s="1"/>
  <c r="F174" i="4"/>
  <c r="G174" i="4" s="1"/>
  <c r="F179" i="4"/>
  <c r="G179" i="4" s="1"/>
  <c r="F201" i="4"/>
  <c r="G201" i="4" s="1"/>
  <c r="F210" i="4"/>
  <c r="G210" i="4" s="1"/>
  <c r="F217" i="4"/>
  <c r="G217" i="4" s="1"/>
  <c r="F233" i="4"/>
  <c r="G233" i="4" s="1"/>
  <c r="F239" i="4"/>
  <c r="G239" i="4" s="1"/>
  <c r="F253" i="4"/>
  <c r="G253" i="4" s="1"/>
  <c r="F255" i="4"/>
  <c r="G255" i="4" s="1"/>
  <c r="F406" i="4"/>
  <c r="G406" i="4" s="1"/>
  <c r="F409" i="4"/>
  <c r="G409" i="4" s="1"/>
  <c r="F410" i="4"/>
  <c r="G410" i="4" s="1"/>
  <c r="F416" i="4"/>
  <c r="G416" i="4" s="1"/>
  <c r="F418" i="4"/>
  <c r="G418" i="4" s="1"/>
  <c r="F420" i="4"/>
  <c r="G420" i="4" s="1"/>
  <c r="F422" i="4"/>
  <c r="G422" i="4" s="1"/>
  <c r="F424" i="4"/>
  <c r="G424" i="4" s="1"/>
  <c r="F427" i="4"/>
  <c r="G427" i="4" s="1"/>
  <c r="F429" i="4"/>
  <c r="G429" i="4" s="1"/>
  <c r="F430" i="4"/>
  <c r="G430" i="4" s="1"/>
  <c r="F431" i="4"/>
  <c r="G431" i="4" s="1"/>
  <c r="F139" i="4"/>
  <c r="G139" i="4" s="1"/>
  <c r="F141" i="4"/>
  <c r="G141" i="4" s="1"/>
  <c r="F143" i="4"/>
  <c r="G143" i="4" s="1"/>
  <c r="F164" i="4"/>
  <c r="G164" i="4" s="1"/>
  <c r="F247" i="4"/>
  <c r="G247" i="4" s="1"/>
  <c r="F478" i="4"/>
  <c r="G478" i="4" s="1"/>
  <c r="F479" i="4"/>
  <c r="G479" i="4" s="1"/>
  <c r="F482" i="4"/>
  <c r="G482" i="4" s="1"/>
  <c r="F483" i="4"/>
  <c r="G483" i="4" s="1"/>
  <c r="F484" i="4"/>
  <c r="G484" i="4" s="1"/>
  <c r="F485" i="4"/>
  <c r="G485" i="4" s="1"/>
  <c r="F486" i="4"/>
  <c r="G486" i="4" s="1"/>
  <c r="F487" i="4"/>
  <c r="G487" i="4" s="1"/>
  <c r="F488" i="4"/>
  <c r="G488" i="4" s="1"/>
  <c r="F489" i="4"/>
  <c r="G489" i="4" s="1"/>
  <c r="F490" i="4"/>
  <c r="G490" i="4" s="1"/>
  <c r="F491" i="4"/>
  <c r="G491" i="4" s="1"/>
  <c r="F492" i="4"/>
  <c r="G492" i="4" s="1"/>
  <c r="F493" i="4"/>
  <c r="G493" i="4" s="1"/>
  <c r="F494" i="4"/>
  <c r="G494" i="4" s="1"/>
  <c r="F496" i="4"/>
  <c r="G496" i="4" s="1"/>
  <c r="F499" i="4"/>
  <c r="G499" i="4" s="1"/>
  <c r="F501" i="4"/>
  <c r="G501" i="4" s="1"/>
  <c r="F504" i="4"/>
  <c r="G504" i="4" s="1"/>
  <c r="F506" i="4"/>
  <c r="G506" i="4" s="1"/>
  <c r="F509" i="4"/>
  <c r="G509" i="4" s="1"/>
  <c r="F511" i="4"/>
  <c r="G511" i="4" s="1"/>
  <c r="F453" i="4"/>
  <c r="G453" i="4" s="1"/>
  <c r="F351" i="4"/>
  <c r="G351" i="4" s="1"/>
  <c r="F353" i="4"/>
  <c r="G353" i="4" s="1"/>
  <c r="F354" i="4"/>
  <c r="G354" i="4" s="1"/>
  <c r="F357" i="4"/>
  <c r="G357" i="4" s="1"/>
  <c r="F359" i="4"/>
  <c r="G359" i="4" s="1"/>
  <c r="F360" i="4"/>
  <c r="G360" i="4" s="1"/>
  <c r="F361" i="4"/>
  <c r="G361" i="4" s="1"/>
  <c r="F363" i="4"/>
  <c r="G363" i="4" s="1"/>
  <c r="F365" i="4"/>
  <c r="G365" i="4" s="1"/>
  <c r="F373" i="4"/>
  <c r="G373" i="4" s="1"/>
  <c r="F374" i="4"/>
  <c r="G374" i="4" s="1"/>
  <c r="F376" i="4"/>
  <c r="G376" i="4" s="1"/>
  <c r="F377" i="4"/>
  <c r="G377" i="4" s="1"/>
  <c r="F379" i="4"/>
  <c r="G379" i="4" s="1"/>
  <c r="F380" i="4"/>
  <c r="G380" i="4" s="1"/>
  <c r="F381" i="4"/>
  <c r="G381" i="4" s="1"/>
  <c r="F279" i="4"/>
  <c r="G279" i="4" s="1"/>
  <c r="F280" i="4"/>
  <c r="G280" i="4" s="1"/>
  <c r="F281" i="4"/>
  <c r="G281" i="4" s="1"/>
  <c r="F282" i="4"/>
  <c r="G282" i="4" s="1"/>
  <c r="F284" i="4"/>
  <c r="G284" i="4" s="1"/>
  <c r="F286" i="4"/>
  <c r="G286" i="4" s="1"/>
  <c r="F289" i="4"/>
  <c r="G289" i="4" s="1"/>
  <c r="F292" i="4"/>
  <c r="G292" i="4" s="1"/>
  <c r="F295" i="4"/>
  <c r="G295" i="4" s="1"/>
  <c r="F396" i="4"/>
  <c r="G396" i="4" s="1"/>
  <c r="F398" i="4"/>
  <c r="G398" i="4" s="1"/>
  <c r="F402" i="4"/>
  <c r="G402" i="4" s="1"/>
  <c r="F404" i="4"/>
  <c r="G404" i="4" s="1"/>
  <c r="F405" i="4"/>
  <c r="G405" i="4" s="1"/>
  <c r="F447" i="4"/>
  <c r="G447" i="4" s="1"/>
  <c r="F452" i="4"/>
  <c r="G452" i="4" s="1"/>
  <c r="F455" i="4"/>
  <c r="G455" i="4" s="1"/>
  <c r="F459" i="4"/>
  <c r="G459" i="4" s="1"/>
  <c r="F461" i="4"/>
  <c r="G461" i="4" s="1"/>
  <c r="F466" i="4"/>
  <c r="G466" i="4" s="1"/>
  <c r="F58" i="4"/>
  <c r="G58" i="4" s="1"/>
  <c r="F73" i="4"/>
  <c r="G73" i="4" s="1"/>
  <c r="F93" i="4"/>
  <c r="G93" i="4" s="1"/>
  <c r="F102" i="4"/>
  <c r="G102" i="4" s="1"/>
  <c r="F107" i="4"/>
  <c r="G107" i="4" s="1"/>
  <c r="F148" i="4"/>
  <c r="G148" i="4" s="1"/>
  <c r="F168" i="4"/>
  <c r="G168" i="4" s="1"/>
  <c r="F172" i="4"/>
  <c r="G172" i="4" s="1"/>
  <c r="F196" i="4"/>
  <c r="G196" i="4" s="1"/>
  <c r="F204" i="4"/>
  <c r="G204" i="4" s="1"/>
  <c r="F222" i="4"/>
  <c r="G222" i="4" s="1"/>
  <c r="F227" i="4"/>
  <c r="G227" i="4" s="1"/>
  <c r="F235" i="4"/>
  <c r="G235" i="4" s="1"/>
  <c r="F240" i="4"/>
  <c r="G240" i="4" s="1"/>
  <c r="F298" i="4"/>
  <c r="G298" i="4" s="1"/>
  <c r="F302" i="4"/>
  <c r="G302" i="4" s="1"/>
  <c r="F468" i="4"/>
  <c r="G468" i="4" s="1"/>
  <c r="F473" i="4"/>
  <c r="G473" i="4" s="1"/>
  <c r="F12" i="4"/>
  <c r="G12" i="4" s="1"/>
  <c r="F18" i="4"/>
  <c r="G18" i="4" s="1"/>
  <c r="F25" i="4"/>
  <c r="G25" i="4" s="1"/>
  <c r="F44" i="4"/>
  <c r="G44" i="4" s="1"/>
  <c r="F55" i="4"/>
  <c r="G55" i="4" s="1"/>
  <c r="F61" i="4"/>
  <c r="G61" i="4" s="1"/>
  <c r="F84" i="4"/>
  <c r="G84" i="4" s="1"/>
  <c r="F98" i="4"/>
  <c r="G98" i="4" s="1"/>
  <c r="F131" i="4"/>
  <c r="G131" i="4" s="1"/>
  <c r="F161" i="4"/>
  <c r="G161" i="4" s="1"/>
  <c r="F191" i="4"/>
  <c r="G191" i="4" s="1"/>
  <c r="F216" i="4"/>
  <c r="G216" i="4" s="1"/>
  <c r="F230" i="4"/>
  <c r="G230" i="4" s="1"/>
  <c r="F296" i="4"/>
  <c r="G296" i="4" s="1"/>
  <c r="F513" i="4"/>
  <c r="G513" i="4" s="1"/>
  <c r="F516" i="4"/>
  <c r="G516" i="4" s="1"/>
  <c r="F518" i="4"/>
  <c r="G518" i="4" s="1"/>
  <c r="F578" i="4"/>
  <c r="G578" i="4" s="1"/>
  <c r="F580" i="4"/>
  <c r="G580" i="4" s="1"/>
  <c r="F582" i="4"/>
  <c r="G582" i="4" s="1"/>
  <c r="F584" i="4"/>
  <c r="G584" i="4" s="1"/>
  <c r="F585" i="4"/>
  <c r="G585" i="4" s="1"/>
  <c r="F587" i="4"/>
  <c r="G587" i="4" s="1"/>
  <c r="F589" i="4"/>
  <c r="G589" i="4" s="1"/>
  <c r="F591" i="4"/>
  <c r="G591" i="4" s="1"/>
  <c r="F593" i="4"/>
  <c r="G593" i="4" s="1"/>
  <c r="F595" i="4"/>
  <c r="G595" i="4" s="1"/>
  <c r="F597" i="4"/>
  <c r="G597" i="4" s="1"/>
  <c r="F599" i="4"/>
  <c r="G599" i="4" s="1"/>
  <c r="F601" i="4"/>
  <c r="G601" i="4" s="1"/>
  <c r="F603" i="4"/>
  <c r="G603" i="4" s="1"/>
  <c r="F604" i="4"/>
  <c r="G604" i="4" s="1"/>
  <c r="F605" i="4"/>
  <c r="G605" i="4" s="1"/>
  <c r="F15" i="4"/>
  <c r="G15" i="4" s="1"/>
  <c r="F17" i="4"/>
  <c r="G17" i="4" s="1"/>
  <c r="F19" i="4"/>
  <c r="G19" i="4" s="1"/>
  <c r="F24" i="4"/>
  <c r="G24" i="4" s="1"/>
  <c r="F26" i="4"/>
  <c r="G26" i="4" s="1"/>
  <c r="F27" i="4"/>
  <c r="G27" i="4" s="1"/>
  <c r="F32" i="4"/>
  <c r="G32" i="4" s="1"/>
  <c r="F37" i="4"/>
  <c r="G37" i="4" s="1"/>
  <c r="F39" i="4"/>
  <c r="G39" i="4" s="1"/>
  <c r="F40" i="4"/>
  <c r="G40" i="4" s="1"/>
  <c r="F41" i="4"/>
  <c r="G41" i="4" s="1"/>
  <c r="F42" i="4"/>
  <c r="G42" i="4" s="1"/>
  <c r="F46" i="4"/>
  <c r="G46" i="4" s="1"/>
  <c r="F48" i="4"/>
  <c r="G48" i="4" s="1"/>
  <c r="F50" i="4"/>
  <c r="G50" i="4" s="1"/>
  <c r="F51" i="4"/>
  <c r="G51" i="4" s="1"/>
  <c r="F54" i="4"/>
  <c r="G54" i="4" s="1"/>
  <c r="F56" i="4"/>
  <c r="G56" i="4" s="1"/>
  <c r="F67" i="4"/>
  <c r="G67" i="4" s="1"/>
  <c r="F69" i="4"/>
  <c r="G69" i="4" s="1"/>
  <c r="F72" i="4"/>
  <c r="G72" i="4" s="1"/>
  <c r="F74" i="4"/>
  <c r="G74" i="4" s="1"/>
  <c r="F78" i="4"/>
  <c r="G78" i="4" s="1"/>
  <c r="F80" i="4"/>
  <c r="G80" i="4" s="1"/>
  <c r="F83" i="4"/>
  <c r="G83" i="4" s="1"/>
  <c r="F85" i="4"/>
  <c r="G85" i="4" s="1"/>
  <c r="F88" i="4"/>
  <c r="G88" i="4" s="1"/>
  <c r="F99" i="4"/>
  <c r="G99" i="4" s="1"/>
  <c r="F101" i="4"/>
  <c r="G101" i="4" s="1"/>
  <c r="F105" i="4"/>
  <c r="G105" i="4" s="1"/>
  <c r="F111" i="4"/>
  <c r="G111" i="4" s="1"/>
  <c r="F121" i="4"/>
  <c r="G121" i="4" s="1"/>
  <c r="F124" i="4"/>
  <c r="G124" i="4" s="1"/>
  <c r="F127" i="4"/>
  <c r="G127" i="4" s="1"/>
  <c r="F145" i="4"/>
  <c r="G145" i="4" s="1"/>
  <c r="F154" i="4"/>
  <c r="G154" i="4" s="1"/>
  <c r="F158" i="4"/>
  <c r="G158" i="4" s="1"/>
  <c r="F64" i="4"/>
  <c r="G64" i="4" s="1"/>
  <c r="F115" i="4"/>
  <c r="G115" i="4" s="1"/>
  <c r="F149" i="4"/>
  <c r="G149" i="4" s="1"/>
  <c r="F163" i="4"/>
  <c r="G163" i="4" s="1"/>
  <c r="F165" i="4"/>
  <c r="G165" i="4" s="1"/>
  <c r="F173" i="4"/>
  <c r="G173" i="4" s="1"/>
  <c r="F176" i="4"/>
  <c r="G176" i="4" s="1"/>
  <c r="F180" i="4"/>
  <c r="G180" i="4" s="1"/>
  <c r="F185" i="4"/>
  <c r="G185" i="4" s="1"/>
  <c r="F187" i="4"/>
  <c r="G187" i="4" s="1"/>
  <c r="F190" i="4"/>
  <c r="G190" i="4" s="1"/>
  <c r="F192" i="4"/>
  <c r="G192" i="4" s="1"/>
  <c r="F195" i="4"/>
  <c r="G195" i="4" s="1"/>
  <c r="F198" i="4"/>
  <c r="G198" i="4" s="1"/>
  <c r="F202" i="4"/>
  <c r="G202" i="4" s="1"/>
  <c r="F206" i="4"/>
  <c r="G206" i="4" s="1"/>
  <c r="F208" i="4"/>
  <c r="G208" i="4" s="1"/>
  <c r="F213" i="4"/>
  <c r="G213" i="4" s="1"/>
  <c r="F215" i="4"/>
  <c r="G215" i="4" s="1"/>
  <c r="F219" i="4"/>
  <c r="G219" i="4" s="1"/>
  <c r="F221" i="4"/>
  <c r="G221" i="4" s="1"/>
  <c r="F226" i="4"/>
  <c r="G226" i="4" s="1"/>
  <c r="F228" i="4"/>
  <c r="G228" i="4" s="1"/>
  <c r="F232" i="4"/>
  <c r="G232" i="4" s="1"/>
  <c r="F236" i="4"/>
  <c r="G236" i="4" s="1"/>
  <c r="F242" i="4"/>
  <c r="G242" i="4" s="1"/>
  <c r="F244" i="4"/>
  <c r="G244" i="4" s="1"/>
  <c r="F246" i="4"/>
  <c r="G246" i="4" s="1"/>
  <c r="F258" i="4"/>
  <c r="G258" i="4" s="1"/>
  <c r="F261" i="4"/>
  <c r="G261" i="4" s="1"/>
  <c r="F264" i="4"/>
  <c r="G264" i="4" s="1"/>
  <c r="F269" i="4"/>
  <c r="G269" i="4" s="1"/>
  <c r="F272" i="4"/>
  <c r="G272" i="4" s="1"/>
  <c r="F276" i="4"/>
  <c r="G276" i="4" s="1"/>
  <c r="F278" i="4"/>
  <c r="G278" i="4" s="1"/>
  <c r="F285" i="4"/>
  <c r="G285" i="4" s="1"/>
  <c r="F287" i="4"/>
  <c r="G287" i="4" s="1"/>
  <c r="F291" i="4"/>
  <c r="G291" i="4" s="1"/>
  <c r="F294" i="4"/>
  <c r="G294" i="4" s="1"/>
  <c r="F301" i="4"/>
  <c r="G301" i="4" s="1"/>
  <c r="F308" i="4"/>
  <c r="G308" i="4" s="1"/>
  <c r="F310" i="4"/>
  <c r="G310" i="4" s="1"/>
  <c r="F312" i="4"/>
  <c r="G312" i="4" s="1"/>
  <c r="F318" i="4"/>
  <c r="G318" i="4" s="1"/>
  <c r="F319" i="4"/>
  <c r="G319" i="4" s="1"/>
  <c r="F322" i="4"/>
  <c r="G322" i="4" s="1"/>
  <c r="F326" i="4"/>
  <c r="G326" i="4" s="1"/>
  <c r="F92" i="4"/>
  <c r="G92" i="4" s="1"/>
  <c r="F133" i="4"/>
  <c r="G133" i="4" s="1"/>
  <c r="F135" i="4"/>
  <c r="G135" i="4" s="1"/>
  <c r="F136" i="4"/>
  <c r="G136" i="4" s="1"/>
  <c r="F137" i="4"/>
  <c r="G137" i="4" s="1"/>
  <c r="F138" i="4"/>
  <c r="G138" i="4" s="1"/>
  <c r="F140" i="4"/>
  <c r="G140" i="4" s="1"/>
  <c r="F590" i="4"/>
  <c r="G590" i="4" s="1"/>
  <c r="F592" i="4"/>
  <c r="G592" i="4" s="1"/>
  <c r="F594" i="4"/>
  <c r="G594" i="4" s="1"/>
  <c r="F596" i="4"/>
  <c r="G596" i="4" s="1"/>
  <c r="F602" i="4"/>
  <c r="G602" i="4" s="1"/>
  <c r="F16" i="4"/>
  <c r="G16" i="4" s="1"/>
  <c r="F22" i="4"/>
  <c r="G22" i="4" s="1"/>
  <c r="F28" i="4"/>
  <c r="G28" i="4" s="1"/>
  <c r="F30" i="4"/>
  <c r="G30" i="4" s="1"/>
  <c r="F33" i="4"/>
  <c r="G33" i="4" s="1"/>
  <c r="F43" i="4"/>
  <c r="G43" i="4" s="1"/>
  <c r="F45" i="4"/>
  <c r="G45" i="4" s="1"/>
  <c r="F47" i="4"/>
  <c r="G47" i="4" s="1"/>
  <c r="F53" i="4"/>
  <c r="G53" i="4" s="1"/>
  <c r="F62" i="4"/>
  <c r="G62" i="4" s="1"/>
  <c r="F65" i="4"/>
  <c r="G65" i="4" s="1"/>
  <c r="F70" i="4"/>
  <c r="G70" i="4" s="1"/>
  <c r="F75" i="4"/>
  <c r="G75" i="4" s="1"/>
  <c r="F77" i="4"/>
  <c r="G77" i="4" s="1"/>
  <c r="F81" i="4"/>
  <c r="G81" i="4" s="1"/>
  <c r="F86" i="4"/>
  <c r="G86" i="4" s="1"/>
  <c r="F87" i="4"/>
  <c r="G87" i="4" s="1"/>
  <c r="F91" i="4"/>
  <c r="G91" i="4" s="1"/>
  <c r="F97" i="4"/>
  <c r="G97" i="4" s="1"/>
  <c r="F103" i="4"/>
  <c r="G103" i="4" s="1"/>
  <c r="F108" i="4"/>
  <c r="G108" i="4" s="1"/>
  <c r="F112" i="4"/>
  <c r="G112" i="4" s="1"/>
  <c r="F116" i="4"/>
  <c r="G116" i="4" s="1"/>
  <c r="F118" i="4"/>
  <c r="G118" i="4" s="1"/>
  <c r="F120" i="4"/>
  <c r="G120" i="4" s="1"/>
  <c r="F123" i="4"/>
  <c r="G123" i="4" s="1"/>
  <c r="F125" i="4"/>
  <c r="G125" i="4" s="1"/>
  <c r="F128" i="4"/>
  <c r="G128" i="4" s="1"/>
  <c r="F132" i="4"/>
  <c r="G132" i="4" s="1"/>
  <c r="F144" i="4"/>
  <c r="G144" i="4" s="1"/>
  <c r="F147" i="4"/>
  <c r="G147" i="4" s="1"/>
  <c r="F151" i="4"/>
  <c r="G151" i="4" s="1"/>
  <c r="F153" i="4"/>
  <c r="G153" i="4" s="1"/>
  <c r="F156" i="4"/>
  <c r="G156" i="4" s="1"/>
  <c r="F159" i="4"/>
  <c r="G159" i="4" s="1"/>
  <c r="F171" i="4"/>
  <c r="G171" i="4" s="1"/>
  <c r="F175" i="4"/>
  <c r="G175" i="4" s="1"/>
  <c r="F181" i="4"/>
  <c r="G181" i="4" s="1"/>
  <c r="F183" i="4"/>
  <c r="G183" i="4" s="1"/>
  <c r="F184" i="4"/>
  <c r="G184" i="4" s="1"/>
  <c r="F186" i="4"/>
  <c r="G186" i="4" s="1"/>
  <c r="F188" i="4"/>
  <c r="G188" i="4" s="1"/>
  <c r="F189" i="4"/>
  <c r="G189" i="4" s="1"/>
  <c r="F193" i="4"/>
  <c r="G193" i="4" s="1"/>
  <c r="F197" i="4"/>
  <c r="G197" i="4" s="1"/>
  <c r="F199" i="4"/>
  <c r="G199" i="4" s="1"/>
  <c r="F203" i="4"/>
  <c r="G203" i="4" s="1"/>
  <c r="F207" i="4"/>
  <c r="G207" i="4" s="1"/>
  <c r="F209" i="4"/>
  <c r="G209" i="4" s="1"/>
  <c r="F214" i="4"/>
  <c r="G214" i="4" s="1"/>
  <c r="F220" i="4"/>
  <c r="G220" i="4" s="1"/>
  <c r="F229" i="4"/>
  <c r="G229" i="4" s="1"/>
  <c r="F234" i="4"/>
  <c r="G234" i="4" s="1"/>
  <c r="F241" i="4"/>
  <c r="G241" i="4" s="1"/>
  <c r="F243" i="4"/>
  <c r="G243" i="4" s="1"/>
  <c r="F245" i="4"/>
  <c r="G245" i="4" s="1"/>
  <c r="F248" i="4"/>
  <c r="G248" i="4" s="1"/>
  <c r="F250" i="4"/>
  <c r="G250" i="4" s="1"/>
  <c r="F252" i="4"/>
  <c r="G252" i="4" s="1"/>
  <c r="F257" i="4"/>
  <c r="G257" i="4" s="1"/>
  <c r="F260" i="4"/>
  <c r="G260" i="4" s="1"/>
  <c r="F265" i="4"/>
  <c r="G265" i="4" s="1"/>
  <c r="F271" i="4"/>
  <c r="G271" i="4" s="1"/>
  <c r="F273" i="4"/>
  <c r="G273" i="4" s="1"/>
  <c r="F283" i="4"/>
  <c r="G283" i="4" s="1"/>
  <c r="F288" i="4"/>
  <c r="G288" i="4" s="1"/>
  <c r="F290" i="4"/>
  <c r="G290" i="4" s="1"/>
  <c r="F293" i="4"/>
  <c r="G293" i="4" s="1"/>
  <c r="F299" i="4"/>
  <c r="G299" i="4" s="1"/>
  <c r="F303" i="4"/>
  <c r="G303" i="4" s="1"/>
  <c r="F306" i="4"/>
  <c r="G306" i="4" s="1"/>
  <c r="F313" i="4"/>
  <c r="G313" i="4" s="1"/>
  <c r="F317" i="4"/>
  <c r="G317" i="4" s="1"/>
  <c r="F323" i="4"/>
  <c r="G323" i="4" s="1"/>
  <c r="F328" i="4"/>
  <c r="G328" i="4" s="1"/>
  <c r="F330" i="4"/>
  <c r="G330" i="4" s="1"/>
  <c r="F332" i="4"/>
  <c r="G332" i="4" s="1"/>
  <c r="F337" i="4"/>
  <c r="G337" i="4" s="1"/>
  <c r="F341" i="4"/>
  <c r="G341" i="4" s="1"/>
  <c r="F350" i="4"/>
  <c r="G350" i="4" s="1"/>
  <c r="F355" i="4"/>
  <c r="G355" i="4" s="1"/>
  <c r="F364" i="4"/>
  <c r="G364" i="4" s="1"/>
  <c r="F366" i="4"/>
  <c r="G366" i="4" s="1"/>
  <c r="F382" i="4"/>
  <c r="G382" i="4" s="1"/>
  <c r="F385" i="4"/>
  <c r="G385" i="4" s="1"/>
  <c r="F387" i="4"/>
  <c r="G387" i="4" s="1"/>
  <c r="F390" i="4"/>
  <c r="G390" i="4" s="1"/>
  <c r="F395" i="4"/>
  <c r="G395" i="4" s="1"/>
  <c r="F399" i="4"/>
  <c r="G399" i="4" s="1"/>
  <c r="F401" i="4"/>
  <c r="G401" i="4" s="1"/>
  <c r="F403" i="4"/>
  <c r="G403" i="4" s="1"/>
  <c r="F408" i="4"/>
  <c r="G408" i="4" s="1"/>
  <c r="F411" i="4"/>
  <c r="G411" i="4" s="1"/>
  <c r="F413" i="4"/>
  <c r="G413" i="4" s="1"/>
  <c r="F415" i="4"/>
  <c r="G415" i="4" s="1"/>
  <c r="F426" i="4"/>
  <c r="G426" i="4" s="1"/>
  <c r="F428" i="4"/>
  <c r="G428" i="4" s="1"/>
  <c r="F435" i="4"/>
  <c r="G435" i="4" s="1"/>
  <c r="F437" i="4"/>
  <c r="G437" i="4" s="1"/>
  <c r="F439" i="4"/>
  <c r="G439" i="4" s="1"/>
  <c r="F441" i="4"/>
  <c r="G441" i="4" s="1"/>
  <c r="F443" i="4"/>
  <c r="G443" i="4" s="1"/>
  <c r="F446" i="4"/>
  <c r="G446" i="4" s="1"/>
  <c r="F448" i="4"/>
  <c r="G448" i="4" s="1"/>
  <c r="F450" i="4"/>
  <c r="G450" i="4" s="1"/>
  <c r="F454" i="4"/>
  <c r="G454" i="4" s="1"/>
  <c r="F456" i="4"/>
  <c r="G456" i="4" s="1"/>
  <c r="F464" i="4"/>
  <c r="G464" i="4" s="1"/>
  <c r="F470" i="4"/>
  <c r="G470" i="4" s="1"/>
  <c r="F474" i="4"/>
  <c r="G474" i="4" s="1"/>
  <c r="F476" i="4"/>
  <c r="G476" i="4" s="1"/>
  <c r="F519" i="4"/>
  <c r="G519" i="4" s="1"/>
  <c r="F521" i="4"/>
  <c r="G521" i="4" s="1"/>
  <c r="F523" i="4"/>
  <c r="G523" i="4" s="1"/>
  <c r="F526" i="4"/>
  <c r="G526" i="4" s="1"/>
  <c r="F528" i="4"/>
  <c r="G528" i="4" s="1"/>
  <c r="F530" i="4"/>
  <c r="G530" i="4" s="1"/>
  <c r="F532" i="4"/>
  <c r="G532" i="4" s="1"/>
  <c r="F533" i="4"/>
  <c r="G533" i="4" s="1"/>
  <c r="F534" i="4"/>
  <c r="G534" i="4" s="1"/>
  <c r="F536" i="4"/>
  <c r="G536" i="4" s="1"/>
  <c r="F538" i="4"/>
  <c r="G538" i="4" s="1"/>
  <c r="F540" i="4"/>
  <c r="G540" i="4" s="1"/>
  <c r="F542" i="4"/>
  <c r="G542" i="4" s="1"/>
  <c r="F544" i="4"/>
  <c r="G544" i="4" s="1"/>
  <c r="F546" i="4"/>
  <c r="G546" i="4" s="1"/>
  <c r="F548" i="4"/>
  <c r="G548" i="4" s="1"/>
  <c r="F550" i="4"/>
  <c r="G550" i="4" s="1"/>
  <c r="F552" i="4"/>
  <c r="G552" i="4" s="1"/>
  <c r="F553" i="4"/>
  <c r="G553" i="4" s="1"/>
  <c r="F555" i="4"/>
  <c r="G555" i="4" s="1"/>
  <c r="F557" i="4"/>
  <c r="G557" i="4" s="1"/>
  <c r="F559" i="4"/>
  <c r="G559" i="4" s="1"/>
  <c r="F561" i="4"/>
  <c r="G561" i="4" s="1"/>
  <c r="F563" i="4"/>
  <c r="G563" i="4" s="1"/>
  <c r="F564" i="4"/>
  <c r="G564" i="4" s="1"/>
  <c r="F565" i="4"/>
  <c r="G565" i="4" s="1"/>
  <c r="F566" i="4"/>
  <c r="G566" i="4" s="1"/>
  <c r="F567" i="4"/>
  <c r="G567" i="4" s="1"/>
  <c r="F568" i="4"/>
  <c r="G568" i="4" s="1"/>
  <c r="F569" i="4"/>
  <c r="G569" i="4" s="1"/>
  <c r="F572" i="4"/>
  <c r="G572" i="4" s="1"/>
  <c r="F575" i="4"/>
  <c r="G575" i="4" s="1"/>
  <c r="F576" i="4"/>
  <c r="G576" i="4" s="1"/>
  <c r="F6" i="4"/>
  <c r="G6" i="4" s="1"/>
  <c r="F94" i="4"/>
  <c r="G94" i="4" s="1"/>
  <c r="F142" i="4"/>
  <c r="G142" i="4" s="1"/>
  <c r="F325" i="4"/>
  <c r="G325" i="4" s="1"/>
  <c r="F352" i="4"/>
  <c r="G352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497" i="4"/>
  <c r="G497" i="4" s="1"/>
  <c r="F498" i="4"/>
  <c r="G498" i="4" s="1"/>
  <c r="F500" i="4"/>
  <c r="G500" i="4" s="1"/>
  <c r="F502" i="4"/>
  <c r="G502" i="4" s="1"/>
  <c r="F503" i="4"/>
  <c r="G503" i="4" s="1"/>
  <c r="F505" i="4"/>
  <c r="G505" i="4" s="1"/>
  <c r="F507" i="4"/>
  <c r="G507" i="4" s="1"/>
  <c r="F508" i="4"/>
  <c r="G508" i="4" s="1"/>
  <c r="F510" i="4"/>
  <c r="G510" i="4" s="1"/>
  <c r="F512" i="4"/>
  <c r="G512" i="4" s="1"/>
  <c r="F514" i="4"/>
  <c r="G514" i="4" s="1"/>
  <c r="F515" i="4"/>
  <c r="G515" i="4" s="1"/>
  <c r="F517" i="4"/>
  <c r="G517" i="4" s="1"/>
  <c r="F577" i="4"/>
  <c r="G577" i="4" s="1"/>
  <c r="F579" i="4"/>
  <c r="G579" i="4" s="1"/>
  <c r="F581" i="4"/>
  <c r="G581" i="4" s="1"/>
  <c r="F583" i="4"/>
  <c r="G583" i="4" s="1"/>
  <c r="F586" i="4"/>
  <c r="G586" i="4" s="1"/>
  <c r="F588" i="4"/>
  <c r="G588" i="4" s="1"/>
  <c r="F598" i="4"/>
  <c r="G598" i="4" s="1"/>
  <c r="F600" i="4"/>
  <c r="G600" i="4" s="1"/>
  <c r="F383" i="4"/>
  <c r="G383" i="4" s="1"/>
  <c r="F384" i="4"/>
  <c r="G384" i="4" s="1"/>
  <c r="F386" i="4"/>
  <c r="G386" i="4" s="1"/>
  <c r="F388" i="4"/>
  <c r="G388" i="4" s="1"/>
  <c r="F392" i="4"/>
  <c r="G392" i="4" s="1"/>
  <c r="F393" i="4"/>
  <c r="G393" i="4" s="1"/>
  <c r="F394" i="4"/>
  <c r="G394" i="4" s="1"/>
  <c r="F570" i="4"/>
  <c r="G570" i="4" s="1"/>
  <c r="F13" i="4"/>
  <c r="G13" i="4" s="1"/>
  <c r="F23" i="4"/>
  <c r="G23" i="4" s="1"/>
  <c r="F31" i="4"/>
  <c r="G31" i="4" s="1"/>
  <c r="F38" i="4"/>
  <c r="G38" i="4" s="1"/>
  <c r="F63" i="4"/>
  <c r="G63" i="4" s="1"/>
  <c r="F68" i="4"/>
  <c r="G68" i="4" s="1"/>
  <c r="F82" i="4"/>
  <c r="G82" i="4" s="1"/>
  <c r="F95" i="4"/>
  <c r="G95" i="4" s="1"/>
  <c r="F109" i="4"/>
  <c r="G109" i="4" s="1"/>
  <c r="F114" i="4"/>
  <c r="G114" i="4" s="1"/>
  <c r="F119" i="4"/>
  <c r="G119" i="4" s="1"/>
  <c r="F126" i="4"/>
  <c r="G126" i="4" s="1"/>
  <c r="F130" i="4"/>
  <c r="G130" i="4" s="1"/>
  <c r="F152" i="4"/>
  <c r="G152" i="4" s="1"/>
  <c r="F155" i="4"/>
  <c r="G155" i="4" s="1"/>
  <c r="F162" i="4"/>
  <c r="G162" i="4" s="1"/>
  <c r="F169" i="4"/>
  <c r="G169" i="4" s="1"/>
  <c r="F177" i="4"/>
  <c r="G177" i="4" s="1"/>
  <c r="F182" i="4"/>
  <c r="G182" i="4" s="1"/>
  <c r="F205" i="4"/>
  <c r="G205" i="4" s="1"/>
  <c r="F212" i="4"/>
  <c r="G212" i="4" s="1"/>
  <c r="F224" i="4"/>
  <c r="G224" i="4" s="1"/>
  <c r="F237" i="4"/>
  <c r="G237" i="4" s="1"/>
  <c r="F251" i="4"/>
  <c r="G251" i="4" s="1"/>
  <c r="F254" i="4"/>
  <c r="G254" i="4" s="1"/>
  <c r="F256" i="4"/>
  <c r="G256" i="4" s="1"/>
  <c r="F259" i="4"/>
  <c r="G259" i="4" s="1"/>
  <c r="F262" i="4"/>
  <c r="G262" i="4" s="1"/>
  <c r="F263" i="4"/>
  <c r="G263" i="4" s="1"/>
  <c r="F266" i="4"/>
  <c r="G266" i="4" s="1"/>
  <c r="F267" i="4"/>
  <c r="G267" i="4" s="1"/>
  <c r="F268" i="4"/>
  <c r="G268" i="4" s="1"/>
  <c r="F270" i="4"/>
  <c r="G270" i="4" s="1"/>
  <c r="F274" i="4"/>
  <c r="G274" i="4" s="1"/>
  <c r="F275" i="4"/>
  <c r="G275" i="4" s="1"/>
  <c r="F277" i="4"/>
  <c r="G277" i="4" s="1"/>
  <c r="B9" i="1"/>
  <c r="F9" i="4"/>
  <c r="G9" i="4" s="1"/>
  <c r="F10" i="4"/>
  <c r="G10" i="4" s="1"/>
  <c r="F8" i="4"/>
  <c r="G8" i="4" s="1"/>
  <c r="F329" i="4"/>
  <c r="G329" i="4" s="1"/>
  <c r="F331" i="4"/>
  <c r="G331" i="4" s="1"/>
  <c r="F334" i="4"/>
  <c r="G334" i="4" s="1"/>
  <c r="F336" i="4"/>
  <c r="G336" i="4" s="1"/>
  <c r="F343" i="4"/>
  <c r="G343" i="4" s="1"/>
  <c r="F347" i="4"/>
  <c r="G347" i="4" s="1"/>
  <c r="F356" i="4"/>
  <c r="G356" i="4" s="1"/>
  <c r="F358" i="4"/>
  <c r="G358" i="4" s="1"/>
  <c r="F362" i="4"/>
  <c r="G362" i="4" s="1"/>
  <c r="F375" i="4"/>
  <c r="G375" i="4" s="1"/>
  <c r="F378" i="4"/>
  <c r="G378" i="4" s="1"/>
  <c r="F389" i="4"/>
  <c r="G389" i="4" s="1"/>
  <c r="F391" i="4"/>
  <c r="G391" i="4" s="1"/>
  <c r="F397" i="4"/>
  <c r="G397" i="4" s="1"/>
  <c r="F400" i="4"/>
  <c r="G400" i="4" s="1"/>
  <c r="F407" i="4"/>
  <c r="G407" i="4" s="1"/>
  <c r="F412" i="4"/>
  <c r="G412" i="4" s="1"/>
  <c r="F414" i="4"/>
  <c r="G414" i="4" s="1"/>
  <c r="F417" i="4"/>
  <c r="G417" i="4" s="1"/>
  <c r="F419" i="4"/>
  <c r="G419" i="4" s="1"/>
  <c r="F421" i="4"/>
  <c r="G421" i="4" s="1"/>
  <c r="F423" i="4"/>
  <c r="G423" i="4" s="1"/>
  <c r="F425" i="4"/>
  <c r="G425" i="4" s="1"/>
  <c r="F436" i="4"/>
  <c r="G436" i="4" s="1"/>
  <c r="F440" i="4"/>
  <c r="G440" i="4" s="1"/>
  <c r="F442" i="4"/>
  <c r="G442" i="4" s="1"/>
  <c r="F449" i="4"/>
  <c r="G449" i="4" s="1"/>
  <c r="F457" i="4"/>
  <c r="G457" i="4" s="1"/>
  <c r="F463" i="4"/>
  <c r="G463" i="4" s="1"/>
  <c r="F465" i="4"/>
  <c r="G465" i="4" s="1"/>
  <c r="F469" i="4"/>
  <c r="G469" i="4" s="1"/>
  <c r="F472" i="4"/>
  <c r="G472" i="4" s="1"/>
  <c r="F475" i="4"/>
  <c r="G475" i="4" s="1"/>
  <c r="F477" i="4"/>
  <c r="G477" i="4" s="1"/>
  <c r="F480" i="4"/>
  <c r="G480" i="4" s="1"/>
  <c r="F520" i="4"/>
  <c r="G520" i="4" s="1"/>
  <c r="F522" i="4"/>
  <c r="G522" i="4" s="1"/>
  <c r="F524" i="4"/>
  <c r="G524" i="4" s="1"/>
  <c r="F525" i="4"/>
  <c r="G525" i="4" s="1"/>
  <c r="F527" i="4"/>
  <c r="G527" i="4" s="1"/>
  <c r="F529" i="4"/>
  <c r="G529" i="4" s="1"/>
  <c r="F531" i="4"/>
  <c r="G531" i="4" s="1"/>
  <c r="F535" i="4"/>
  <c r="G535" i="4" s="1"/>
  <c r="F537" i="4"/>
  <c r="G537" i="4" s="1"/>
  <c r="F539" i="4"/>
  <c r="G539" i="4" s="1"/>
  <c r="F541" i="4"/>
  <c r="G541" i="4" s="1"/>
  <c r="F543" i="4"/>
  <c r="G543" i="4" s="1"/>
  <c r="F545" i="4"/>
  <c r="G545" i="4" s="1"/>
  <c r="F547" i="4"/>
  <c r="G547" i="4" s="1"/>
  <c r="F549" i="4"/>
  <c r="G549" i="4" s="1"/>
  <c r="F551" i="4"/>
  <c r="G551" i="4" s="1"/>
  <c r="F554" i="4"/>
  <c r="G554" i="4" s="1"/>
  <c r="F556" i="4"/>
  <c r="G556" i="4" s="1"/>
  <c r="F558" i="4"/>
  <c r="G558" i="4" s="1"/>
  <c r="F560" i="4"/>
  <c r="G560" i="4" s="1"/>
  <c r="F562" i="4"/>
  <c r="G562" i="4" s="1"/>
  <c r="F571" i="4"/>
  <c r="G571" i="4" s="1"/>
  <c r="F573" i="4"/>
  <c r="G573" i="4" s="1"/>
  <c r="F574" i="4"/>
  <c r="G574" i="4" s="1"/>
  <c r="B21" i="3" l="1"/>
  <c r="B22" i="3" l="1"/>
  <c r="F8" i="1"/>
  <c r="B8" i="5" l="1"/>
  <c r="C8" i="5" s="1"/>
  <c r="E8" i="5" s="1"/>
  <c r="B14" i="5" s="1"/>
  <c r="B6" i="6"/>
  <c r="C6" i="6" s="1"/>
  <c r="E6" i="6" s="1"/>
  <c r="B7" i="6"/>
  <c r="C7" i="6" s="1"/>
  <c r="E7" i="6" s="1"/>
  <c r="B9" i="6"/>
  <c r="C9" i="6" s="1"/>
  <c r="E9" i="6" s="1"/>
  <c r="B8" i="6"/>
  <c r="C8" i="6" s="1"/>
  <c r="E8" i="6" s="1"/>
  <c r="B10" i="6"/>
  <c r="C10" i="6" s="1"/>
  <c r="E10" i="6" s="1"/>
  <c r="G6" i="7"/>
  <c r="B22" i="7" s="1"/>
  <c r="F9" i="1"/>
  <c r="B23" i="3"/>
  <c r="F12" i="1" l="1"/>
  <c r="H6" i="7"/>
  <c r="B23" i="7" s="1"/>
  <c r="B24" i="7" s="1"/>
  <c r="F10" i="1"/>
  <c r="B15" i="5"/>
  <c r="B24" i="3"/>
  <c r="F11" i="1" s="1"/>
  <c r="B16" i="5"/>
  <c r="B28" i="3" l="1"/>
  <c r="E5" i="1"/>
  <c r="B26" i="3" l="1"/>
  <c r="B5" i="1" s="1"/>
  <c r="B27" i="3"/>
  <c r="F14" i="1" s="1"/>
</calcChain>
</file>

<file path=xl/sharedStrings.xml><?xml version="1.0" encoding="utf-8"?>
<sst xmlns="http://schemas.openxmlformats.org/spreadsheetml/2006/main" count="329" uniqueCount="249">
  <si>
    <t>BOND BUY / SELL DASHBOARD</t>
  </si>
  <si>
    <t>Συμπέρασμα με βάση Intrinsic Value, YTM, RCY, Duration και Risk Score. Δεν αποτελεί επενδυτική συμβουλή.</t>
  </si>
  <si>
    <t>Τελική ένδειξη</t>
  </si>
  <si>
    <t>Επίπεδο κινδύνου</t>
  </si>
  <si>
    <t>Δείκτης</t>
  </si>
  <si>
    <t>Τιμή</t>
  </si>
  <si>
    <t>Ερμηνεία</t>
  </si>
  <si>
    <t>Intrinsic Value (IV)</t>
  </si>
  <si>
    <t>Αν IV &gt; MP, το ομόλογο φαίνεται υποτιμημένο.</t>
  </si>
  <si>
    <t>Macaulay Duration</t>
  </si>
  <si>
    <t>Σταθμισμένος χρόνος είσπραξης cash flows.</t>
  </si>
  <si>
    <t>IV / Κόστος</t>
  </si>
  <si>
    <t>Πάνω από 1 σημαίνει ότι η θεωρητική αξία ξεπερνά το κόστος.</t>
  </si>
  <si>
    <t>Modified Duration</t>
  </si>
  <si>
    <t>Ευαισθησία τιμής σε μεταβολή απόδοσης.</t>
  </si>
  <si>
    <t>MP-FV</t>
  </si>
  <si>
    <t>Discount / Premium / Par.</t>
  </si>
  <si>
    <t>Price impact για Δy</t>
  </si>
  <si>
    <t>Προσέγγιση % μεταβολής τιμής.</t>
  </si>
  <si>
    <t>Current Yield</t>
  </si>
  <si>
    <t>Ετήσιο κουπόνι προς τρέχουσα τιμή.</t>
  </si>
  <si>
    <t>Estimated Price</t>
  </si>
  <si>
    <t>Τιμή μετά το σενάριο Δy.</t>
  </si>
  <si>
    <t>YTM καθαρό</t>
  </si>
  <si>
    <t>Απόδοση έως λήξη μετά προμήθειες/φόρους.</t>
  </si>
  <si>
    <t>Risk Score</t>
  </si>
  <si>
    <t>Συνδυαστικός δείκτης κινδύνου.</t>
  </si>
  <si>
    <t>AYTM approx</t>
  </si>
  <si>
    <t>Προσεγγιστικός τύπος από σημειώσεις.</t>
  </si>
  <si>
    <t>Συνολική αξία θέσης</t>
  </si>
  <si>
    <t>Κόστος για το πλήθος ομολόγων.</t>
  </si>
  <si>
    <t>RCY</t>
  </si>
  <si>
    <t>Απόδοση με επανεπένδυση κουπονιών.</t>
  </si>
  <si>
    <t>Αιτιολόγηση</t>
  </si>
  <si>
    <t>Σύντομη λογική συμπεράσματος.</t>
  </si>
  <si>
    <t>Πρακτικός κανόνας αγοράς/πώλησης</t>
  </si>
  <si>
    <t>Αγορά</t>
  </si>
  <si>
    <t>όταν IV &gt; MP με περιθώριο και YTM ≥ απαιτούμενη απόδοση και ο κίνδυνος δεν είναι υψηλός.</t>
  </si>
  <si>
    <t>Πώληση / μη αγορά</t>
  </si>
  <si>
    <t>όταν IV &lt; MP με περιθώριο ή YTM &lt; απαιτούμενη απόδοση ή ο κίνδυνος βγαίνει υψηλός.</t>
  </si>
  <si>
    <t>Διακράτηση</t>
  </si>
  <si>
    <t>όταν το ομόλογο είναι περίπου δίκαια τιμολογημένο ή τα σήματα είναι μικτά.</t>
  </si>
  <si>
    <t>Μalkiel</t>
  </si>
  <si>
    <t>Απόδοση/επιτόκιο αγοράς ↑ ⇒ τιμή ↓. Απόδοση/επιτόκιο αγοράς ↓ ⇒ τιμή ↑.</t>
  </si>
  <si>
    <t>Προσοχή</t>
  </si>
  <si>
    <t>Το αρχείο είναι εργαλείο εκπαίδευσης/ανάλυσης και όχι εξατομικευμένη επενδυτική σύσταση.</t>
  </si>
  <si>
    <t>ΕΙΣΟΔΟΙ ΓΙΑ ΑΝΑΛΥΣΗ ΟΜΟΛΟΓΟΥ</t>
  </si>
  <si>
    <t>Συμπλήρωσε τα κίτρινα κελιά. Τα αποτελέσματα βγαίνουν αυτόματα στο Dashboard.</t>
  </si>
  <si>
    <t>Ονομασία / ISIN</t>
  </si>
  <si>
    <t>Κείμενο αναγνώρισης ομολόγου.</t>
  </si>
  <si>
    <t>Εκδότης</t>
  </si>
  <si>
    <t>Ποιος είναι ο εκδότης.</t>
  </si>
  <si>
    <t>Τύπος ομολόγου</t>
  </si>
  <si>
    <t>Corporate</t>
  </si>
  <si>
    <t>Corporate / Treasury-Government / Municipal-Local Authority.</t>
  </si>
  <si>
    <t>Νόμισμα αγοράς/πώλησης</t>
  </si>
  <si>
    <t>EUR</t>
  </si>
  <si>
    <t>Νόμισμα διαπραγμάτευσης.</t>
  </si>
  <si>
    <t>Σειρά προτεραιότητας</t>
  </si>
  <si>
    <t>Senior</t>
  </si>
  <si>
    <t>Senior ή Subordinated.</t>
  </si>
  <si>
    <t>Callable;</t>
  </si>
  <si>
    <t>Όχι</t>
  </si>
  <si>
    <t>Αν ο εκδότης μπορεί να το ανακαλέσει πριν τη λήξη.</t>
  </si>
  <si>
    <t>Ρευστότητα αγοράς</t>
  </si>
  <si>
    <t>Μέση</t>
  </si>
  <si>
    <t>Πόσο εύκολα μπορεί να αγοραστεί/πωληθεί.</t>
  </si>
  <si>
    <t>Πιστοληπτική διαβάθμιση</t>
  </si>
  <si>
    <t>BBB</t>
  </si>
  <si>
    <t>Rating. Αν δεν υπάρχει, βάλε Not rated.</t>
  </si>
  <si>
    <t>Ονομαστική αξία FV ανά ομόλογο</t>
  </si>
  <si>
    <t>Face value / ποσό αποπληρωμής στη λήξη.</t>
  </si>
  <si>
    <t>Αγοραία τιμή MP ανά ομόλογο</t>
  </si>
  <si>
    <t>Market price / καθαρή τιμή αγοράς πριν προμήθειες.</t>
  </si>
  <si>
    <t>Κουπόνι ετήσιο % k</t>
  </si>
  <si>
    <t>Ετήσιο κουπόνι ως ποσοστό της ονομαστικής αξίας.</t>
  </si>
  <si>
    <t>Συχνότητα κουπονιού ανά έτος</t>
  </si>
  <si>
    <t>1=ετήσιο, 2=εξαμηνιαίο, 4=τριμηνιαίο, 12=μηνιαίο.</t>
  </si>
  <si>
    <t>Χρόνια έως τη λήξη n</t>
  </si>
  <si>
    <t>Χρόνια μέχρι αποπληρωμή FV.</t>
  </si>
  <si>
    <t>Απαιτούμενη απόδοση r / επιτόκιο αγοράς</t>
  </si>
  <si>
    <t>Η απόδοση που ζητάς/συγκριτική απόδοση αγοράς.</t>
  </si>
  <si>
    <t>Επανεπένδυση κουπονιών για RCY</t>
  </si>
  <si>
    <t>Ετήσιος ρυθμός επανεπένδυσης κουπονιών.</t>
  </si>
  <si>
    <t>Προμήθειες αγοράς/πώλησης %</t>
  </si>
  <si>
    <t>Ποσοστό κόστους συναλλαγής.</t>
  </si>
  <si>
    <t>Φορολογία κουπονιών %</t>
  </si>
  <si>
    <t>Φόρος πάνω στα κουπόνια, αν εφαρμόζεται.</t>
  </si>
  <si>
    <t>Πλήθος ομολόγων</t>
  </si>
  <si>
    <t>Πόσα ομόλογα θα αγοράσεις/πουλήσεις.</t>
  </si>
  <si>
    <t>Νόμισμα βάσης επενδυτή</t>
  </si>
  <si>
    <t>Για ένδειξη συναλλαγματικού κινδύνου.</t>
  </si>
  <si>
    <t>Αναμενόμενη μεταβολή απόδοσης Δy</t>
  </si>
  <si>
    <t>Π.χ. +1% = 0,01. Χρησιμοποιείται για price impact.</t>
  </si>
  <si>
    <t>Όριο υποτίμησης/υπερτίμησης IV vs MP</t>
  </si>
  <si>
    <t>Π.χ. 2% περιθώριο για BUY/SELL/HOLD.</t>
  </si>
  <si>
    <t>Βάση αξιολόγησης</t>
  </si>
  <si>
    <t>Αγορά / Πώληση / Διακράτηση.</t>
  </si>
  <si>
    <t>ΥΠΟΛΟΓΙΣΜΟΙ ΔΕΙΚΤΩΝ ΟΜΟΛΟΓΟΥ</t>
  </si>
  <si>
    <t>Οι τύποι βασίζονται στις σημειώσεις: FV, MP, IV, YTM, AYTM, RCY, Current Yield, Duration.</t>
  </si>
  <si>
    <t>FV ανά ομόλογο</t>
  </si>
  <si>
    <t>€</t>
  </si>
  <si>
    <t>MP ανά ομόλογο</t>
  </si>
  <si>
    <t>Προμήθεια ανά ομόλογο</t>
  </si>
  <si>
    <t>Καθαρό κόστος αγοράς</t>
  </si>
  <si>
    <t>Καθαρό προϊόν πώλησης</t>
  </si>
  <si>
    <t>Ετήσιο κουπόνι C (μικτό)</t>
  </si>
  <si>
    <t>€ / έτος</t>
  </si>
  <si>
    <t>Ετήσιο κουπόνι C (καθαρό)</t>
  </si>
  <si>
    <t>Κουπόνι ανά περίοδο</t>
  </si>
  <si>
    <t>€ / περίοδο</t>
  </si>
  <si>
    <t>Σύνολο περιόδων έως λήξη</t>
  </si>
  <si>
    <t>περίοδοι</t>
  </si>
  <si>
    <t>Περιοδικό required yield</t>
  </si>
  <si>
    <t>ανά περίοδο</t>
  </si>
  <si>
    <t>Intrinsic Value (IV) με r</t>
  </si>
  <si>
    <t>IV / Καθαρό κόστος αγοράς</t>
  </si>
  <si>
    <t>x</t>
  </si>
  <si>
    <t>Τρέχουσα απόδοση (Current Yield)</t>
  </si>
  <si>
    <t>%</t>
  </si>
  <si>
    <t>YTM ακριβές (μικτό)</t>
  </si>
  <si>
    <t>YTM καθαρό μετά προμηθειών/φόρων</t>
  </si>
  <si>
    <t>AYTM κατά προσέγγιση</t>
  </si>
  <si>
    <t>RCY με επανεπένδυση κουπονιών</t>
  </si>
  <si>
    <t>χρόνια</t>
  </si>
  <si>
    <t>Εκτιμώμενη % μεταβολή τιμής για Δy</t>
  </si>
  <si>
    <t>Εκτιμώμενη τιμή μετά Δy</t>
  </si>
  <si>
    <t>Σχέση MP-FV</t>
  </si>
  <si>
    <t>κείμενο</t>
  </si>
  <si>
    <t>Συμπέρασμα</t>
  </si>
  <si>
    <t>CASH FLOWS ΚΑΙ DURATION</t>
  </si>
  <si>
    <t>Χρησιμοποιείται για Macaulay Duration και Modified Duration. Υποστηρίζει έως 600 περιόδους.</t>
  </si>
  <si>
    <t>Περίοδος</t>
  </si>
  <si>
    <t>Χρόνος (έτη)</t>
  </si>
  <si>
    <t>Cash Flow</t>
  </si>
  <si>
    <t>Discount Factor</t>
  </si>
  <si>
    <t>PV Cash Flow</t>
  </si>
  <si>
    <t>Βάρος</t>
  </si>
  <si>
    <t>Weighted Time</t>
  </si>
  <si>
    <t>ΑΝΑΛΥΣΗ ΚΙΝΔΥΝΟΥ</t>
  </si>
  <si>
    <t>Risk score: πιστωτικός, επιτοκιακός, ρευστότητας, συναλλαγματικός, προτεραιότητας, callable.</t>
  </si>
  <si>
    <t>Παράγοντας</t>
  </si>
  <si>
    <t>Input/Δείκτης</t>
  </si>
  <si>
    <t>Score</t>
  </si>
  <si>
    <t>Weighted Score</t>
  </si>
  <si>
    <t>Πιστωτικός κίνδυνος / Rating</t>
  </si>
  <si>
    <t>Χαμηλότερο score σημαίνει ισχυρότερη διαβάθμιση.</t>
  </si>
  <si>
    <t>Κρατικά συνήθως χαμηλότερος κίνδυνος, εταιρικά υψηλότερος.</t>
  </si>
  <si>
    <t>Επιτοκιακός κίνδυνος / Duration</t>
  </si>
  <si>
    <t>Μεγαλύτερο duration σημαίνει μεγαλύτερη ευαισθησία τιμής.</t>
  </si>
  <si>
    <t>Ρευστότητα</t>
  </si>
  <si>
    <t>Χαμηλή ρευστότητα δυσκολεύει πώληση/αγορά στην επιθυμητή τιμή.</t>
  </si>
  <si>
    <t>Συναλλαγματικός κίνδυνος</t>
  </si>
  <si>
    <t>Αν νόμισμα ομολόγου ≠ νόμισμα βάσης, υπάρχει FX κίνδυνος.</t>
  </si>
  <si>
    <t>Subordinated πληρώνεται μετά τα senior σε περίπτωση προβλήματος.</t>
  </si>
  <si>
    <t>Callable</t>
  </si>
  <si>
    <t>Callable σημαίνει ότι ο εκδότης μπορεί να ανακαλέσει το ομόλογο.</t>
  </si>
  <si>
    <t>Συνολικό Risk Score</t>
  </si>
  <si>
    <t>Σύντομη ερμηνεία</t>
  </si>
  <si>
    <t>ΕΥΑΙΣΘΗΣΙΑ ΤΙΜΗΣ ΣΕ ΜΕΤΑΒΟΛΗ ΑΠΟΔΟΣΗΣ</t>
  </si>
  <si>
    <t>Με βάση τον κανόνα Duration: %ΔP ≈ -Modified Duration × Δy. Περιλαμβάνεται και exact reprice.</t>
  </si>
  <si>
    <t>Δy</t>
  </si>
  <si>
    <t>Duration approx %ΔP</t>
  </si>
  <si>
    <t>Duration approx Price</t>
  </si>
  <si>
    <t>Exact Reprice</t>
  </si>
  <si>
    <t>Διαφορά Exact-Approx</t>
  </si>
  <si>
    <t>Σημείωση</t>
  </si>
  <si>
    <t>Όσο αυξάνεται η απόδοση/επιτόκιο αγοράς, η τιμή του ομολόγου συνήθως μειώνεται. Όσο μειώνεται η απόδοση, η τιμή αυξάνεται.</t>
  </si>
  <si>
    <t>ΧΑΡΤΟΦΥΛΑΚΙΟ ΟΜΟΛΟΓΩΝ ΚΑΙ PORTFOLIO DURATION</t>
  </si>
  <si>
    <t>Προαιρετικά: βάλε πολλά ομόλογα για να δεις συνολικό duration χαρτοφυλακίου.</t>
  </si>
  <si>
    <t>Ομόλογο</t>
  </si>
  <si>
    <t>Αξία Θέσης</t>
  </si>
  <si>
    <t>Risk Level</t>
  </si>
  <si>
    <t>Weighted Duration</t>
  </si>
  <si>
    <t>Weighted Risk</t>
  </si>
  <si>
    <t>Portfolio Duration</t>
  </si>
  <si>
    <t>Portfolio Risk Score</t>
  </si>
  <si>
    <t>Portfolio Risk Level</t>
  </si>
  <si>
    <t>ΠΗΓΕΣ, ΤΥΠΟΙ ΚΑΙ ΟΔΗΓΙΕΣ</t>
  </si>
  <si>
    <t>Πώς χρησιμοποιείται</t>
  </si>
  <si>
    <t>1</t>
  </si>
  <si>
    <t>Συμπλήρωσε τα κίτρινα κελιά στο Inputs.</t>
  </si>
  <si>
    <t>2</t>
  </si>
  <si>
    <t>Δες το Dashboard για αγορά/πώληση/διακράτηση και επίπεδο κινδύνου.</t>
  </si>
  <si>
    <t>3</t>
  </si>
  <si>
    <t>Άλλαξε το r, το MP, το κουπόνι, το rating και το Δy για να δεις πώς αλλάζει το αποτέλεσμα.</t>
  </si>
  <si>
    <t>4</t>
  </si>
  <si>
    <t>Για εταιρικά/subordinated/callable ή χαμηλής ρευστότητας ομόλογα, το risk score αυξάνεται.</t>
  </si>
  <si>
    <t>5</t>
  </si>
  <si>
    <t>Το συμπέρασμα είναι κανόνας αξιολόγησης και όχι βέβαιη πρόβλεψη αγοράς.</t>
  </si>
  <si>
    <t>Βασικοί τύποι που έχουν ενσωματωθεί</t>
  </si>
  <si>
    <t>Intrinsic Value</t>
  </si>
  <si>
    <t>PV κουπονιών + PV ονομαστικής αξίας με απαιτούμενη απόδοση r.</t>
  </si>
  <si>
    <t>Ετήσιο κουπόνι / MP.</t>
  </si>
  <si>
    <t>YTM</t>
  </si>
  <si>
    <t>RATE(periods, coupon per period, -price, FV) × frequency.</t>
  </si>
  <si>
    <t>AYTM</t>
  </si>
  <si>
    <t>(C + (FV-MP)/n) / ((FV+MP)/2).</t>
  </si>
  <si>
    <t>((FV + μελλοντική αξία επανεπενδυμένων κουπονιών) / καθαρό κόστος)^(1/n) - 1.</t>
  </si>
  <si>
    <t>Σύνολο: χρόνος × βάρος παρούσας αξίας cash flow.</t>
  </si>
  <si>
    <t>Macaulay Duration / (1 + YTM/frequency).</t>
  </si>
  <si>
    <t>Price impact</t>
  </si>
  <si>
    <t>%ΔP ≈ -Modified Duration × Δy.</t>
  </si>
  <si>
    <t>Ενδεικτικές εξωτερικές πηγές για τους οικονομικούς όρους</t>
  </si>
  <si>
    <t>Investor.gov - Bonds FAQ</t>
  </si>
  <si>
    <t>https://www.investor.gov/introduction-investing/investing-basics/investment-products/bonds-or-fixed-income-products/bonds</t>
  </si>
  <si>
    <t>Κουπόνια, λήξη, βασικές έννοιες ομολόγων.</t>
  </si>
  <si>
    <t>Investor.gov - Interest rates and fixed-rate bond prices</t>
  </si>
  <si>
    <t>https://www.investor.gov/introduction-investing/general-resources/news-alerts/alerts-bulletins/investor-bulletins-86</t>
  </si>
  <si>
    <t>Αντίστροφη σχέση επιτοκίων/αποδόσεων και τιμών ομολόγων.</t>
  </si>
  <si>
    <t>CFI - Yield to Maturity</t>
  </si>
  <si>
    <t>https://corporatefinanceinstitute.com/resources/fixed-income/yield-to-maturity-ytm/</t>
  </si>
  <si>
    <t>Έννοια YTM.</t>
  </si>
  <si>
    <t>Wall Street Prep - Approximate YTM</t>
  </si>
  <si>
    <t>https://www.wallstreetprep.com/knowledge/yield-to-maturity-ytm/</t>
  </si>
  <si>
    <t>Προσεγγιστικός τύπος AYTM.</t>
  </si>
  <si>
    <t>CFI - Duration</t>
  </si>
  <si>
    <t>https://corporatefinanceinstitute.com/resources/fixed-income/duration/</t>
  </si>
  <si>
    <t>Macaulay/Modified Duration και ευαισθησία τιμής.</t>
  </si>
  <si>
    <t>Bond Type</t>
  </si>
  <si>
    <t>Seniority</t>
  </si>
  <si>
    <t>Liquidity</t>
  </si>
  <si>
    <t>Rating</t>
  </si>
  <si>
    <t>Currency</t>
  </si>
  <si>
    <t>Treasury/Government</t>
  </si>
  <si>
    <t>Ναι</t>
  </si>
  <si>
    <t>Υψηλή</t>
  </si>
  <si>
    <t>AAA</t>
  </si>
  <si>
    <t>Subordinated</t>
  </si>
  <si>
    <t>AA</t>
  </si>
  <si>
    <t>Πώληση</t>
  </si>
  <si>
    <t>USD</t>
  </si>
  <si>
    <t>Municipal/Local Authority</t>
  </si>
  <si>
    <t>Χαμηλή</t>
  </si>
  <si>
    <t>A</t>
  </si>
  <si>
    <t>GBP</t>
  </si>
  <si>
    <t>CHF</t>
  </si>
  <si>
    <t>BB</t>
  </si>
  <si>
    <t>Other</t>
  </si>
  <si>
    <t>B</t>
  </si>
  <si>
    <t>CCC</t>
  </si>
  <si>
    <t>CC</t>
  </si>
  <si>
    <t>C</t>
  </si>
  <si>
    <t>Not rated</t>
  </si>
  <si>
    <t>GGB 3,875% 15/06/2028 — GR0114033583</t>
  </si>
  <si>
    <t>Χαμηλός</t>
  </si>
  <si>
    <t>United States Treasury / U.S. Government</t>
  </si>
  <si>
    <t>U.S. Treasury Note 4,125% 31/05/2031 — US91282CQU89</t>
  </si>
  <si>
    <t>U.S. Treasury Note 4,375% 15/05/2036 — US91282CQQ77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</si>
</sst>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%;[Red]\(0.00%\);\-"/>
    <numFmt numFmtId="165" formatCode="#,##0.00;[Red]\(#,##0.00\);\-"/>
    <numFmt numFmtId="166" formatCode="0.00;[Red]\(0.00\);\-"/>
    <numFmt numFmtId="167" formatCode="0.00\x"/>
  </numFmts>
  <fonts count="10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i/>
      <sz val="11"/>
      <color rgb="FF666666"/>
      <name val="Carlito"/>
    </font>
    <font>
      <sz val="11"/>
      <color rgb="FF000000"/>
      <name val="Carlito"/>
    </font>
    <font>
      <sz val="11"/>
      <color rgb="FF444444"/>
      <name val="Carlito"/>
    </font>
    <font>
      <b/>
      <sz val="14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left" vertical="center" wrapText="1"/>
    </xf>
    <xf numFmtId="0" fontId="5" fillId="0" borderId="0" xfId="1" applyFont="1" applyAlignment="1">
      <alignment wrapText="1"/>
    </xf>
    <xf numFmtId="0" fontId="6" fillId="0" borderId="0" xfId="1" applyFont="1" applyAlignment="1">
      <alignment horizontal="left" vertical="center" wrapText="1"/>
    </xf>
    <xf numFmtId="165" fontId="1" fillId="2" borderId="0" xfId="1" applyNumberFormat="1" applyFont="1" applyFill="1" applyAlignment="1">
      <alignment horizontal="center" vertical="center" wrapText="1"/>
    </xf>
    <xf numFmtId="165" fontId="6" fillId="0" borderId="0" xfId="1" applyNumberFormat="1" applyFont="1" applyAlignment="1">
      <alignment horizontal="left" vertical="center" wrapText="1"/>
    </xf>
    <xf numFmtId="1" fontId="6" fillId="0" borderId="0" xfId="1" applyNumberFormat="1" applyFont="1" applyAlignment="1">
      <alignment horizontal="left" vertical="center" wrapText="1"/>
    </xf>
    <xf numFmtId="164" fontId="6" fillId="0" borderId="0" xfId="1" applyNumberFormat="1" applyFont="1" applyAlignment="1">
      <alignment horizontal="left" vertical="center" wrapText="1"/>
    </xf>
    <xf numFmtId="166" fontId="6" fillId="0" borderId="0" xfId="1" applyNumberFormat="1" applyFont="1" applyAlignment="1">
      <alignment horizontal="left" vertical="center" wrapText="1"/>
    </xf>
    <xf numFmtId="0" fontId="0" fillId="0" borderId="0" xfId="1" applyFont="1" applyAlignment="1">
      <alignment wrapText="1"/>
    </xf>
    <xf numFmtId="166" fontId="0" fillId="0" borderId="0" xfId="1" applyNumberFormat="1" applyFont="1" applyAlignment="1">
      <alignment wrapText="1"/>
    </xf>
    <xf numFmtId="10" fontId="6" fillId="0" borderId="0" xfId="1" applyNumberFormat="1" applyFont="1" applyAlignment="1">
      <alignment horizontal="left" vertical="center" wrapText="1"/>
    </xf>
    <xf numFmtId="2" fontId="6" fillId="0" borderId="0" xfId="1" applyNumberFormat="1" applyFont="1" applyAlignment="1">
      <alignment horizontal="left" vertical="center" wrapText="1"/>
    </xf>
    <xf numFmtId="4" fontId="6" fillId="0" borderId="0" xfId="1" applyNumberFormat="1" applyFont="1" applyAlignment="1">
      <alignment horizontal="left" vertical="center" wrapText="1"/>
    </xf>
    <xf numFmtId="167" fontId="6" fillId="0" borderId="0" xfId="1" applyNumberFormat="1" applyFont="1" applyAlignment="1">
      <alignment horizontal="left" vertical="center" wrapText="1"/>
    </xf>
    <xf numFmtId="10" fontId="0" fillId="0" borderId="0" xfId="1" applyNumberFormat="1" applyFont="1" applyAlignment="1">
      <alignment wrapText="1"/>
    </xf>
    <xf numFmtId="4" fontId="0" fillId="0" borderId="0" xfId="1" applyNumberFormat="1" applyFont="1" applyAlignment="1">
      <alignment wrapText="1"/>
    </xf>
    <xf numFmtId="0" fontId="7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8" fillId="6" borderId="0" xfId="1" applyFont="1" applyFill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  <xf numFmtId="0" fontId="4" fillId="5" borderId="0" xfId="1" applyFont="1" applyFill="1" applyAlignment="1" applyProtection="1">
      <alignment horizontal="left" vertical="center" wrapText="1"/>
      <protection locked="0"/>
    </xf>
    <xf numFmtId="165" fontId="4" fillId="5" borderId="0" xfId="1" applyNumberFormat="1" applyFont="1" applyFill="1" applyAlignment="1" applyProtection="1">
      <alignment horizontal="left" vertical="center" wrapText="1"/>
      <protection locked="0"/>
    </xf>
    <xf numFmtId="164" fontId="4" fillId="5" borderId="0" xfId="1" applyNumberFormat="1" applyFont="1" applyFill="1" applyAlignment="1" applyProtection="1">
      <alignment horizontal="left" vertical="center" wrapText="1"/>
      <protection locked="0"/>
    </xf>
    <xf numFmtId="1" fontId="4" fillId="5" borderId="0" xfId="1" applyNumberFormat="1" applyFont="1" applyFill="1" applyAlignment="1" applyProtection="1">
      <alignment horizontal="left" vertical="center" wrapText="1"/>
      <protection locked="0"/>
    </xf>
    <xf numFmtId="1" fontId="0" fillId="0" borderId="0" xfId="1" applyNumberFormat="1" applyFont="1"/>
    <xf numFmtId="166" fontId="0" fillId="0" borderId="0" xfId="1" applyNumberFormat="1" applyFont="1"/>
    <xf numFmtId="165" fontId="0" fillId="0" borderId="0" xfId="1" applyNumberFormat="1" applyFont="1"/>
    <xf numFmtId="164" fontId="0" fillId="0" borderId="0" xfId="1" applyNumberFormat="1" applyFont="1"/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6" fillId="0" borderId="0" xfId="1" applyNumberFormat="1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66" fontId="6" fillId="0" borderId="0" xfId="1" applyNumberFormat="1" applyFont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 applyProtection="1">
      <alignment horizontal="center" vertical="center" wrapText="1"/>
      <protection locked="0"/>
    </xf>
    <xf numFmtId="165" fontId="4" fillId="5" borderId="0" xfId="1" applyNumberFormat="1" applyFont="1" applyFill="1" applyAlignment="1" applyProtection="1">
      <alignment horizontal="center" vertical="center" wrapText="1"/>
      <protection locked="0"/>
    </xf>
    <xf numFmtId="2" fontId="4" fillId="5" borderId="0" xfId="1" applyNumberFormat="1" applyFont="1" applyFill="1" applyAlignment="1" applyProtection="1">
      <alignment horizontal="center" vertical="center" wrapText="1"/>
      <protection locked="0"/>
    </xf>
    <xf numFmtId="166" fontId="4" fillId="5" borderId="0" xfId="1" applyNumberFormat="1" applyFont="1" applyFill="1" applyAlignment="1" applyProtection="1">
      <alignment horizontal="center" vertical="center" wrapText="1"/>
      <protection locked="0"/>
    </xf>
    <xf numFmtId="0" fontId="0" fillId="0" borderId="0" xfId="1" applyFont="1" applyAlignment="1" applyProtection="1">
      <alignment horizontal="center" vertical="center" wrapText="1"/>
      <protection locked="0"/>
    </xf>
    <xf numFmtId="165" fontId="0" fillId="0" borderId="0" xfId="1" applyNumberFormat="1" applyFont="1" applyAlignment="1" applyProtection="1">
      <alignment horizontal="center" vertical="center" wrapText="1"/>
      <protection locked="0"/>
    </xf>
    <xf numFmtId="2" fontId="0" fillId="0" borderId="0" xfId="1" applyNumberFormat="1" applyFont="1" applyAlignment="1" applyProtection="1">
      <alignment horizontal="center" vertical="center" wrapText="1"/>
      <protection locked="0"/>
    </xf>
    <xf numFmtId="166" fontId="0" fillId="0" borderId="0" xfId="1" applyNumberFormat="1" applyFont="1" applyAlignment="1" applyProtection="1">
      <alignment horizontal="center" vertical="center" wrapText="1"/>
      <protection locked="0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1" fillId="2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Κανονικό" xfId="0" builtinId="0"/>
  </cellStyles>
  <dxfs count="6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c:style val="2"/>
  <c:chart>
    <c:title>
      <c:tx>
        <c:rich>
          <a:bodyPr/>
          <a:lstStyle/>
          <a:p>
            <a:r>
              <a:rPr lang="el-GR"/>
              <a:t>Τιμή ομολόγου σε σενάρια Δ</a:t>
            </a:r>
            <a:r>
              <a:rPr lang="en-US"/>
              <a:t>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Duration approx %ΔP</c:v>
          </c:tx>
          <c:cat>
            <c:numRef>
              <c:f>Sensitivity!$A$6:$A$10</c:f>
              <c:numCache>
                <c:formatCode>0.00%</c:formatCode>
                <c:ptCount val="5"/>
                <c:pt idx="0">
                  <c:v>-0.02</c:v>
                </c:pt>
                <c:pt idx="1">
                  <c:v>-0.01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</c:numCache>
            </c:numRef>
          </c:cat>
          <c:val>
            <c:numRef>
              <c:f>Sensitivity!$B$6:$B$10</c:f>
              <c:numCache>
                <c:formatCode>0.00%</c:formatCode>
                <c:ptCount val="5"/>
                <c:pt idx="0">
                  <c:v>0.160189845494214</c:v>
                </c:pt>
                <c:pt idx="1">
                  <c:v>8.0094922747107E-2</c:v>
                </c:pt>
                <c:pt idx="2">
                  <c:v>0</c:v>
                </c:pt>
                <c:pt idx="3">
                  <c:v>-8.0094922747107E-2</c:v>
                </c:pt>
                <c:pt idx="4">
                  <c:v>-0.160189845494214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E-480E-8BEB-807AD9816C54}"/>
            </c:ext>
          </c:extLst>
        </c:ser>
        <c:ser>
          <c:idx val="1"/>
          <c:order val="1"/>
          <c:tx>
            <c:v>Duration approx Price</c:v>
          </c:tx>
          <c:cat>
            <c:numRef>
              <c:f>Sensitivity!$A$6:$A$10</c:f>
              <c:numCache>
                <c:formatCode>0.00%</c:formatCode>
                <c:ptCount val="5"/>
                <c:pt idx="0">
                  <c:v>-0.02</c:v>
                </c:pt>
                <c:pt idx="1">
                  <c:v>-0.01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</c:numCache>
            </c:numRef>
          </c:cat>
          <c:val>
            <c:numRef>
              <c:f>Sensitivity!$C$6:$C$10</c:f>
              <c:numCache>
                <c:formatCode>#,##0.00</c:formatCode>
                <c:ptCount val="5"/>
                <c:pt idx="0">
                  <c:v>1145.142183198154</c:v>
                </c:pt>
                <c:pt idx="1">
                  <c:v>1066.086091599077</c:v>
                </c:pt>
                <c:pt idx="2">
                  <c:v>987.03</c:v>
                </c:pt>
                <c:pt idx="3">
                  <c:v>907.97390840092294</c:v>
                </c:pt>
                <c:pt idx="4">
                  <c:v>828.9178168018459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E-480E-8BEB-807AD9816C54}"/>
            </c:ext>
          </c:extLst>
        </c:ser>
        <c:ser>
          <c:idx val="2"/>
          <c:order val="2"/>
          <c:tx>
            <c:v>Exact Reprice</c:v>
          </c:tx>
          <c:cat>
            <c:numRef>
              <c:f>Sensitivity!$A$6:$A$10</c:f>
              <c:numCache>
                <c:formatCode>0.00%</c:formatCode>
                <c:ptCount val="5"/>
                <c:pt idx="0">
                  <c:v>-0.02</c:v>
                </c:pt>
                <c:pt idx="1">
                  <c:v>-0.01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</c:numCache>
            </c:numRef>
          </c:cat>
          <c:val>
            <c:numRef>
              <c:f>Sensitivity!$D$6:$D$10</c:f>
              <c:numCache>
                <c:formatCode>#,##0.00</c:formatCode>
                <c:ptCount val="5"/>
                <c:pt idx="0">
                  <c:v>1161.3645755488346</c:v>
                </c:pt>
                <c:pt idx="1">
                  <c:v>1069.999605196019</c:v>
                </c:pt>
                <c:pt idx="2">
                  <c:v>987.0299999999753</c:v>
                </c:pt>
                <c:pt idx="3">
                  <c:v>911.62587422116098</c:v>
                </c:pt>
                <c:pt idx="4">
                  <c:v>843.04382794328194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E-480E-8BEB-807AD9816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activeCell="E9" sqref="E9"/>
    </sheetView>
  </sheetViews>
  <sheetFormatPr defaultRowHeight="14.25"/>
  <cols>
    <col min="1" max="1" width="24" customWidth="1"/>
    <col min="2" max="2" width="27.625" customWidth="1"/>
    <col min="3" max="3" width="40" customWidth="1"/>
    <col min="4" max="4" width="14.375" customWidth="1"/>
    <col min="5" max="5" width="24" customWidth="1"/>
    <col min="6" max="6" width="22" customWidth="1"/>
    <col min="7" max="7" width="40" customWidth="1"/>
  </cols>
  <sheetData>
    <row r="1" spans="1:8" ht="30" customHeight="1">
      <c r="A1" s="45" t="s">
        <v>0</v>
      </c>
      <c r="B1" s="49"/>
      <c r="C1" s="49"/>
      <c r="D1" s="49"/>
      <c r="E1" s="49"/>
      <c r="F1" s="49"/>
      <c r="G1" s="49"/>
      <c r="H1" s="49"/>
    </row>
    <row r="2" spans="1:8" ht="18" customHeight="1">
      <c r="A2" s="10"/>
      <c r="B2" s="10"/>
      <c r="C2" s="10"/>
      <c r="D2" s="10"/>
      <c r="E2" s="10"/>
      <c r="F2" s="10"/>
      <c r="G2" s="10"/>
      <c r="H2" s="10"/>
    </row>
    <row r="3" spans="1:8" ht="18" customHeight="1">
      <c r="A3" s="50" t="s">
        <v>1</v>
      </c>
      <c r="B3" s="49"/>
      <c r="C3" s="49"/>
      <c r="D3" s="49"/>
      <c r="E3" s="49"/>
      <c r="F3" s="49"/>
      <c r="G3" s="49"/>
      <c r="H3" s="49"/>
    </row>
    <row r="4" spans="1:8" ht="18" customHeight="1">
      <c r="A4" s="10"/>
      <c r="B4" s="10"/>
      <c r="C4" s="10"/>
      <c r="D4" s="10"/>
      <c r="E4" s="10"/>
      <c r="F4" s="10"/>
      <c r="G4" s="10"/>
      <c r="H4" s="10"/>
    </row>
    <row r="5" spans="1:8" ht="45" customHeight="1">
      <c r="A5" s="1" t="s">
        <v>2</v>
      </c>
      <c r="B5" s="21" t="str">
        <f>Analysis!$B$26</f>
        <v>ΜΗ ΑΓΟΡΑ / ΠΕΡΙΜΕΝΕ</v>
      </c>
      <c r="C5" s="19"/>
      <c r="D5" s="1" t="s">
        <v>3</v>
      </c>
      <c r="E5" s="22" t="str">
        <f>Risk!$B$15</f>
        <v>Μέσος</v>
      </c>
      <c r="F5" s="10"/>
      <c r="G5" s="10"/>
      <c r="H5" s="10"/>
    </row>
    <row r="6" spans="1:8" ht="18" customHeight="1">
      <c r="A6" s="10"/>
      <c r="B6" s="10"/>
      <c r="C6" s="10"/>
      <c r="D6" s="10"/>
      <c r="E6" s="10"/>
      <c r="F6" s="10"/>
      <c r="G6" s="10"/>
      <c r="H6" s="10"/>
    </row>
    <row r="7" spans="1:8" ht="18" customHeight="1">
      <c r="A7" s="1" t="s">
        <v>4</v>
      </c>
      <c r="B7" s="1" t="s">
        <v>5</v>
      </c>
      <c r="C7" s="1" t="s">
        <v>6</v>
      </c>
      <c r="D7" s="10"/>
      <c r="E7" s="1" t="s">
        <v>4</v>
      </c>
      <c r="F7" s="1" t="s">
        <v>5</v>
      </c>
      <c r="G7" s="1" t="s">
        <v>6</v>
      </c>
      <c r="H7" s="10"/>
    </row>
    <row r="8" spans="1:8" s="20" customFormat="1" ht="25.5" customHeight="1">
      <c r="A8" s="2" t="s">
        <v>7</v>
      </c>
      <c r="B8" s="14">
        <f>Analysis!$B$14</f>
        <v>987.01314538147801</v>
      </c>
      <c r="C8" s="18" t="s">
        <v>8</v>
      </c>
      <c r="D8" s="19"/>
      <c r="E8" s="2" t="s">
        <v>9</v>
      </c>
      <c r="F8" s="13">
        <f>Analysis!$B$21</f>
        <v>8.1912191162891403</v>
      </c>
      <c r="G8" s="18" t="s">
        <v>10</v>
      </c>
      <c r="H8" s="19"/>
    </row>
    <row r="9" spans="1:8" s="20" customFormat="1" ht="25.5" customHeight="1">
      <c r="A9" s="2" t="s">
        <v>11</v>
      </c>
      <c r="B9" s="15">
        <f>Analysis!$B$15</f>
        <v>0.9999829239045197</v>
      </c>
      <c r="C9" s="18" t="s">
        <v>12</v>
      </c>
      <c r="D9" s="19"/>
      <c r="E9" s="2" t="s">
        <v>13</v>
      </c>
      <c r="F9" s="13">
        <f>Analysis!$B$22</f>
        <v>8.0094922747107002</v>
      </c>
      <c r="G9" s="18" t="s">
        <v>14</v>
      </c>
      <c r="H9" s="19"/>
    </row>
    <row r="10" spans="1:8" s="20" customFormat="1" ht="30" customHeight="1">
      <c r="A10" s="2" t="s">
        <v>15</v>
      </c>
      <c r="B10" s="14" t="str">
        <f>Analysis!$B$25</f>
        <v>Discount / κάτω από την ονομαστική αξία</v>
      </c>
      <c r="C10" s="18" t="s">
        <v>16</v>
      </c>
      <c r="D10" s="19"/>
      <c r="E10" s="2" t="s">
        <v>17</v>
      </c>
      <c r="F10" s="12">
        <f>Analysis!$B$23</f>
        <v>-8.0094922747107E-2</v>
      </c>
      <c r="G10" s="18" t="s">
        <v>18</v>
      </c>
      <c r="H10" s="19"/>
    </row>
    <row r="11" spans="1:8" s="20" customFormat="1" ht="25.5" customHeight="1">
      <c r="A11" s="2" t="s">
        <v>19</v>
      </c>
      <c r="B11" s="12">
        <f>Analysis!$B$16</f>
        <v>4.4324893873539814E-2</v>
      </c>
      <c r="C11" s="18" t="s">
        <v>20</v>
      </c>
      <c r="D11" s="19"/>
      <c r="E11" s="2" t="s">
        <v>21</v>
      </c>
      <c r="F11" s="14">
        <f>Analysis!$B$24</f>
        <v>907.97390840092294</v>
      </c>
      <c r="G11" s="18" t="s">
        <v>22</v>
      </c>
      <c r="H11" s="19"/>
    </row>
    <row r="12" spans="1:8" s="20" customFormat="1" ht="25.5" customHeight="1">
      <c r="A12" s="2" t="s">
        <v>23</v>
      </c>
      <c r="B12" s="12">
        <f>Analysis!$B$18</f>
        <v>4.5377867996009694E-2</v>
      </c>
      <c r="C12" s="18" t="s">
        <v>24</v>
      </c>
      <c r="D12" s="19"/>
      <c r="E12" s="2" t="s">
        <v>25</v>
      </c>
      <c r="F12" s="14">
        <f>Risk!$B$14</f>
        <v>2.5699999999999994</v>
      </c>
      <c r="G12" s="18" t="s">
        <v>26</v>
      </c>
      <c r="H12" s="19"/>
    </row>
    <row r="13" spans="1:8" s="20" customFormat="1" ht="25.5" customHeight="1">
      <c r="A13" s="2" t="s">
        <v>27</v>
      </c>
      <c r="B13" s="12">
        <f>Analysis!$B$19</f>
        <v>4.5341036622496896E-2</v>
      </c>
      <c r="C13" s="18" t="s">
        <v>28</v>
      </c>
      <c r="D13" s="19"/>
      <c r="E13" s="2" t="s">
        <v>29</v>
      </c>
      <c r="F13" s="14">
        <f>Analysis!$B$29</f>
        <v>987.03</v>
      </c>
      <c r="G13" s="18" t="s">
        <v>30</v>
      </c>
      <c r="H13" s="19"/>
    </row>
    <row r="14" spans="1:8" s="20" customFormat="1" ht="55.5" customHeight="1">
      <c r="A14" s="2" t="s">
        <v>31</v>
      </c>
      <c r="B14" s="12">
        <f>Analysis!$B$20</f>
        <v>3.8311705371188332E-2</v>
      </c>
      <c r="C14" s="18" t="s">
        <v>32</v>
      </c>
      <c r="D14" s="19"/>
      <c r="E14" s="2" t="s">
        <v>33</v>
      </c>
      <c r="F14" s="4" t="str">
        <f>Analysis!$B$27</f>
        <v>Βάση=Αγορά. IV/Κόστος=001x, YTM καθαρό=005%, r=005%, κίνδυνος=Μέσος.</v>
      </c>
      <c r="G14" s="18" t="s">
        <v>34</v>
      </c>
      <c r="H14" s="19"/>
    </row>
    <row r="15" spans="1:8" ht="18" customHeight="1">
      <c r="A15" s="10"/>
      <c r="B15" s="10"/>
      <c r="C15" s="10"/>
      <c r="D15" s="10"/>
      <c r="E15" s="10"/>
      <c r="F15" s="10"/>
      <c r="G15" s="10"/>
      <c r="H15" s="10"/>
    </row>
    <row r="16" spans="1:8" ht="18" customHeight="1">
      <c r="A16" s="50" t="s">
        <v>35</v>
      </c>
      <c r="B16" s="50"/>
      <c r="C16" s="50"/>
      <c r="D16" s="50"/>
      <c r="E16" s="50"/>
      <c r="F16" s="50"/>
      <c r="G16" s="50"/>
      <c r="H16" s="50"/>
    </row>
    <row r="17" spans="1:8" ht="30" customHeight="1">
      <c r="A17" s="2" t="s">
        <v>36</v>
      </c>
      <c r="B17" s="48" t="s">
        <v>37</v>
      </c>
      <c r="C17" s="48"/>
      <c r="D17" s="48"/>
      <c r="E17" s="48"/>
      <c r="F17" s="48"/>
      <c r="G17" s="48"/>
      <c r="H17" s="48"/>
    </row>
    <row r="18" spans="1:8" ht="30" customHeight="1">
      <c r="A18" s="2" t="s">
        <v>38</v>
      </c>
      <c r="B18" s="48" t="s">
        <v>39</v>
      </c>
      <c r="C18" s="48"/>
      <c r="D18" s="48"/>
      <c r="E18" s="48"/>
      <c r="F18" s="48"/>
      <c r="G18" s="48"/>
      <c r="H18" s="48"/>
    </row>
    <row r="19" spans="1:8" ht="30" customHeight="1">
      <c r="A19" s="2" t="s">
        <v>40</v>
      </c>
      <c r="B19" s="48" t="s">
        <v>41</v>
      </c>
      <c r="C19" s="48"/>
      <c r="D19" s="48"/>
      <c r="E19" s="48"/>
      <c r="F19" s="48"/>
      <c r="G19" s="48"/>
      <c r="H19" s="48"/>
    </row>
    <row r="20" spans="1:8" ht="30" customHeight="1">
      <c r="A20" s="2" t="s">
        <v>42</v>
      </c>
      <c r="B20" s="48" t="s">
        <v>43</v>
      </c>
      <c r="C20" s="48"/>
      <c r="D20" s="48"/>
      <c r="E20" s="48"/>
      <c r="F20" s="48"/>
      <c r="G20" s="48"/>
      <c r="H20" s="48"/>
    </row>
    <row r="21" spans="1:8" ht="15.75" customHeight="1">
      <c r="A21" s="2" t="s">
        <v>44</v>
      </c>
      <c r="B21" s="48" t="s">
        <v>45</v>
      </c>
      <c r="C21" s="48"/>
      <c r="D21" s="48"/>
      <c r="E21" s="48"/>
      <c r="F21" s="48"/>
      <c r="G21" s="48"/>
      <c r="H21" s="48"/>
    </row>
    <row r="22" spans="1:8" ht="18" customHeight="1">
      <c r="A22" s="10"/>
      <c r="B22" s="10"/>
      <c r="C22" s="10"/>
      <c r="D22" s="10"/>
      <c r="E22" s="10"/>
      <c r="F22" s="10"/>
      <c r="G22" s="10"/>
      <c r="H22" s="10"/>
    </row>
    <row r="23" spans="1:8" ht="18" customHeight="1">
      <c r="A23" s="10"/>
      <c r="B23" s="10"/>
      <c r="C23" s="10"/>
      <c r="D23" s="10"/>
      <c r="E23" s="10"/>
      <c r="F23" s="10"/>
      <c r="G23" s="10"/>
      <c r="H23" s="10"/>
    </row>
    <row r="24" spans="1:8" ht="18" customHeight="1">
      <c r="A24" s="10"/>
      <c r="B24" s="10"/>
      <c r="C24" s="10"/>
      <c r="D24" s="10"/>
      <c r="E24" s="10"/>
      <c r="F24" s="10"/>
      <c r="G24" s="10"/>
      <c r="H24" s="10"/>
    </row>
    <row r="25" spans="1:8" ht="18" customHeight="1">
      <c r="A25" s="10"/>
      <c r="B25" s="10"/>
      <c r="C25" s="10"/>
      <c r="D25" s="10"/>
      <c r="E25" s="10"/>
      <c r="F25" s="10"/>
      <c r="G25" s="10"/>
      <c r="H25" s="10"/>
    </row>
    <row r="26" spans="1:8" ht="18" customHeight="1">
      <c r="A26" s="10"/>
      <c r="B26" s="10"/>
      <c r="C26" s="10"/>
      <c r="D26" s="10"/>
      <c r="E26" s="10"/>
      <c r="F26" s="10"/>
      <c r="G26" s="10"/>
      <c r="H26" s="10"/>
    </row>
    <row r="27" spans="1:8" ht="18" customHeight="1">
      <c r="A27" s="10"/>
      <c r="B27" s="10"/>
      <c r="C27" s="10"/>
      <c r="D27" s="10"/>
      <c r="E27" s="10"/>
      <c r="F27" s="10"/>
      <c r="G27" s="10"/>
      <c r="H27" s="10"/>
    </row>
    <row r="28" spans="1:8" ht="18" customHeight="1">
      <c r="A28" s="10"/>
      <c r="B28" s="10"/>
      <c r="C28" s="10"/>
      <c r="D28" s="10"/>
      <c r="E28" s="10"/>
      <c r="F28" s="10"/>
      <c r="G28" s="10"/>
      <c r="H28" s="10"/>
    </row>
    <row r="29" spans="1:8" ht="18" customHeight="1">
      <c r="A29" s="10"/>
      <c r="B29" s="10"/>
      <c r="C29" s="10"/>
      <c r="D29" s="10"/>
      <c r="E29" s="10"/>
      <c r="F29" s="10"/>
      <c r="G29" s="10"/>
      <c r="H29" s="10"/>
    </row>
    <row r="30" spans="1:8" ht="18" customHeight="1">
      <c r="A30" s="10"/>
      <c r="B30" s="10"/>
      <c r="C30" s="10"/>
      <c r="D30" s="10"/>
      <c r="E30" s="10"/>
      <c r="F30" s="10"/>
      <c r="G30" s="10"/>
      <c r="H30" s="10"/>
    </row>
    <row r="31" spans="1:8" ht="18" customHeight="1">
      <c r="A31" s="10"/>
      <c r="B31" s="10"/>
      <c r="C31" s="10"/>
      <c r="D31" s="10"/>
      <c r="E31" s="10"/>
      <c r="F31" s="10"/>
      <c r="G31" s="10"/>
      <c r="H31" s="10"/>
    </row>
    <row r="32" spans="1:8" ht="18" customHeight="1">
      <c r="A32" s="10"/>
      <c r="B32" s="10"/>
      <c r="C32" s="10"/>
      <c r="D32" s="10"/>
      <c r="E32" s="10"/>
      <c r="F32" s="10"/>
      <c r="G32" s="10"/>
      <c r="H32" s="10"/>
    </row>
    <row r="33" spans="1:8" ht="18" customHeight="1">
      <c r="A33" s="10"/>
      <c r="B33" s="10"/>
      <c r="C33" s="10"/>
      <c r="D33" s="10"/>
      <c r="E33" s="10"/>
      <c r="F33" s="10"/>
      <c r="G33" s="10"/>
      <c r="H33" s="10"/>
    </row>
    <row r="34" spans="1:8" ht="18" customHeight="1">
      <c r="A34" s="10"/>
      <c r="B34" s="10"/>
      <c r="C34" s="10"/>
      <c r="D34" s="10"/>
      <c r="E34" s="10"/>
      <c r="F34" s="10"/>
      <c r="G34" s="10"/>
      <c r="H34" s="10"/>
    </row>
    <row r="35" spans="1:8" ht="18" customHeight="1">
      <c r="A35" s="10"/>
      <c r="B35" s="10"/>
      <c r="C35" s="10"/>
      <c r="D35" s="10"/>
      <c r="E35" s="10"/>
      <c r="F35" s="10"/>
      <c r="G35" s="10"/>
      <c r="H35" s="10"/>
    </row>
    <row r="36" spans="1:8" ht="18" customHeight="1">
      <c r="A36" s="10"/>
      <c r="B36" s="10"/>
      <c r="C36" s="10"/>
      <c r="D36" s="10"/>
      <c r="E36" s="10"/>
      <c r="F36" s="10"/>
      <c r="G36" s="10"/>
      <c r="H36" s="10"/>
    </row>
    <row r="37" spans="1:8" ht="18" customHeight="1">
      <c r="A37" s="10"/>
      <c r="B37" s="10"/>
      <c r="C37" s="10"/>
      <c r="D37" s="10"/>
      <c r="E37" s="10"/>
      <c r="F37" s="10"/>
      <c r="G37" s="10"/>
      <c r="H37" s="10"/>
    </row>
    <row r="38" spans="1:8" ht="18" customHeight="1">
      <c r="A38" s="10"/>
      <c r="B38" s="10"/>
      <c r="C38" s="10"/>
      <c r="D38" s="10"/>
      <c r="E38" s="10"/>
      <c r="F38" s="10"/>
      <c r="G38" s="10"/>
      <c r="H38" s="10"/>
    </row>
    <row r="39" spans="1:8" ht="18" customHeight="1">
      <c r="A39" s="10"/>
      <c r="B39" s="10"/>
      <c r="C39" s="10"/>
      <c r="D39" s="10"/>
      <c r="E39" s="10"/>
      <c r="F39" s="10"/>
      <c r="G39" s="10"/>
      <c r="H39" s="10"/>
    </row>
    <row r="40" spans="1:8" ht="18" customHeight="1">
      <c r="A40" s="10"/>
      <c r="B40" s="10"/>
      <c r="C40" s="10"/>
      <c r="D40" s="10"/>
      <c r="E40" s="10"/>
      <c r="F40" s="10"/>
      <c r="G40" s="10"/>
      <c r="H40" s="10"/>
    </row>
  </sheetData>
  <sheetProtection sheet="1" objects="1" scenarios="1" selectLockedCells="1"/>
  <mergeCells count="8">
    <mergeCell ref="B19:H19"/>
    <mergeCell ref="B20:H20"/>
    <mergeCell ref="B21:H21"/>
    <mergeCell ref="A1:H1"/>
    <mergeCell ref="A3:H3"/>
    <mergeCell ref="A16:H16"/>
    <mergeCell ref="B17:H17"/>
    <mergeCell ref="B18:H18"/>
  </mergeCells>
  <conditionalFormatting sqref="B5">
    <cfRule type="expression" dxfId="5" priority="1">
      <formula>ISNUMBER(SEARCH("ΑΓΟΡΑ",B5))</formula>
    </cfRule>
    <cfRule type="expression" dxfId="4" priority="2">
      <formula>ISNUMBER(SEARCH("ΠΩΛΗΣΗ",B5))</formula>
    </cfRule>
    <cfRule type="expression" dxfId="3" priority="3">
      <formula>ISNUMBER(SEARCH("ΔΙΑΚΡΑΤΗΣΗ",B5))</formula>
    </cfRule>
  </conditionalFormatting>
  <conditionalFormatting sqref="E5">
    <cfRule type="expression" dxfId="2" priority="4">
      <formula>E5="Χαμηλός"</formula>
    </cfRule>
    <cfRule type="expression" dxfId="1" priority="5">
      <formula>E5="Μέσος"</formula>
    </cfRule>
    <cfRule type="expression" dxfId="0" priority="6">
      <formula>E5="Υψηλός"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opLeftCell="A3" workbookViewId="0">
      <selection activeCell="B18" sqref="B18"/>
    </sheetView>
  </sheetViews>
  <sheetFormatPr defaultRowHeight="14.25"/>
  <cols>
    <col min="1" max="1" width="38.625" customWidth="1"/>
    <col min="2" max="2" width="22" customWidth="1"/>
    <col min="3" max="3" width="58" customWidth="1"/>
    <col min="4" max="4" width="28.125" customWidth="1"/>
  </cols>
  <sheetData>
    <row r="1" spans="1:8" ht="30" customHeight="1">
      <c r="A1" s="45" t="s">
        <v>46</v>
      </c>
      <c r="B1" s="49"/>
      <c r="C1" s="49"/>
      <c r="D1" s="49"/>
      <c r="E1" s="49"/>
      <c r="F1" s="10"/>
      <c r="G1" s="10"/>
      <c r="H1" s="10"/>
    </row>
    <row r="2" spans="1:8" ht="18" customHeight="1">
      <c r="A2" s="10"/>
      <c r="B2" s="10"/>
      <c r="C2" s="10"/>
      <c r="D2" s="10"/>
      <c r="E2" s="10"/>
      <c r="F2" s="10"/>
      <c r="G2" s="10"/>
      <c r="H2" s="10"/>
    </row>
    <row r="3" spans="1:8" ht="18" customHeight="1">
      <c r="A3" s="50" t="s">
        <v>47</v>
      </c>
      <c r="B3" s="49"/>
      <c r="C3" s="49"/>
      <c r="D3" s="49"/>
      <c r="E3" s="49"/>
      <c r="F3" s="10"/>
      <c r="G3" s="10"/>
      <c r="H3" s="10"/>
    </row>
    <row r="4" spans="1:8" ht="44.25" customHeight="1">
      <c r="A4" s="2" t="s">
        <v>48</v>
      </c>
      <c r="B4" s="23" t="s">
        <v>248</v>
      </c>
      <c r="C4" s="3" t="s">
        <v>49</v>
      </c>
      <c r="D4" s="10"/>
      <c r="E4" s="10"/>
      <c r="F4" s="10"/>
      <c r="G4" s="10"/>
      <c r="H4" s="10"/>
    </row>
    <row r="5" spans="1:8" ht="35.25" customHeight="1">
      <c r="A5" s="2" t="s">
        <v>50</v>
      </c>
      <c r="B5" s="23" t="s">
        <v>246</v>
      </c>
      <c r="C5" s="3" t="s">
        <v>51</v>
      </c>
      <c r="D5" s="10"/>
      <c r="E5" s="10"/>
      <c r="F5" s="10"/>
      <c r="G5" s="10"/>
      <c r="H5" s="10"/>
    </row>
    <row r="6" spans="1:8" ht="20.25" customHeight="1">
      <c r="A6" s="2" t="s">
        <v>52</v>
      </c>
      <c r="B6" s="23" t="s">
        <v>224</v>
      </c>
      <c r="C6" s="3" t="s">
        <v>54</v>
      </c>
      <c r="D6" s="10"/>
      <c r="E6" s="10"/>
      <c r="F6" s="10"/>
      <c r="G6" s="10"/>
      <c r="H6" s="10"/>
    </row>
    <row r="7" spans="1:8" ht="20.25" customHeight="1">
      <c r="A7" s="2" t="s">
        <v>55</v>
      </c>
      <c r="B7" s="23" t="s">
        <v>231</v>
      </c>
      <c r="C7" s="3" t="s">
        <v>57</v>
      </c>
      <c r="D7" s="10"/>
      <c r="E7" s="10"/>
      <c r="F7" s="10"/>
      <c r="G7" s="10"/>
      <c r="H7" s="10"/>
    </row>
    <row r="8" spans="1:8" ht="20.25" customHeight="1">
      <c r="A8" s="2" t="s">
        <v>58</v>
      </c>
      <c r="B8" s="23" t="s">
        <v>59</v>
      </c>
      <c r="C8" s="3" t="s">
        <v>60</v>
      </c>
      <c r="D8" s="10"/>
      <c r="E8" s="10"/>
      <c r="F8" s="10"/>
      <c r="G8" s="10"/>
      <c r="H8" s="10"/>
    </row>
    <row r="9" spans="1:8" ht="20.25" customHeight="1">
      <c r="A9" s="2" t="s">
        <v>61</v>
      </c>
      <c r="B9" s="23" t="s">
        <v>62</v>
      </c>
      <c r="C9" s="3" t="s">
        <v>63</v>
      </c>
      <c r="D9" s="10"/>
      <c r="E9" s="10"/>
      <c r="F9" s="10"/>
      <c r="G9" s="10"/>
      <c r="H9" s="10"/>
    </row>
    <row r="10" spans="1:8" ht="20.25" customHeight="1">
      <c r="A10" s="2" t="s">
        <v>64</v>
      </c>
      <c r="B10" s="23" t="s">
        <v>226</v>
      </c>
      <c r="C10" s="3" t="s">
        <v>66</v>
      </c>
      <c r="D10" s="10"/>
      <c r="E10" s="10"/>
      <c r="F10" s="10"/>
      <c r="G10" s="10"/>
      <c r="H10" s="10"/>
    </row>
    <row r="11" spans="1:8" ht="20.25" customHeight="1">
      <c r="A11" s="2" t="s">
        <v>67</v>
      </c>
      <c r="B11" s="23" t="s">
        <v>227</v>
      </c>
      <c r="C11" s="3" t="s">
        <v>69</v>
      </c>
      <c r="D11" s="10"/>
      <c r="E11" s="10"/>
      <c r="F11" s="10"/>
      <c r="G11" s="10"/>
      <c r="H11" s="10"/>
    </row>
    <row r="12" spans="1:8" ht="20.25" customHeight="1">
      <c r="A12" s="2" t="s">
        <v>70</v>
      </c>
      <c r="B12" s="24">
        <v>1000</v>
      </c>
      <c r="C12" s="3" t="s">
        <v>71</v>
      </c>
      <c r="D12" s="10"/>
      <c r="E12" s="10"/>
      <c r="F12" s="10"/>
      <c r="G12" s="10"/>
      <c r="H12" s="10"/>
    </row>
    <row r="13" spans="1:8" ht="20.25" customHeight="1">
      <c r="A13" s="2" t="s">
        <v>72</v>
      </c>
      <c r="B13" s="24">
        <v>987.03</v>
      </c>
      <c r="C13" s="3" t="s">
        <v>73</v>
      </c>
      <c r="D13" s="10"/>
      <c r="E13" s="10"/>
      <c r="F13" s="10"/>
      <c r="G13" s="10"/>
      <c r="H13" s="10"/>
    </row>
    <row r="14" spans="1:8" ht="20.25" customHeight="1">
      <c r="A14" s="2" t="s">
        <v>74</v>
      </c>
      <c r="B14" s="25">
        <v>4.3749999999999997E-2</v>
      </c>
      <c r="C14" s="3" t="s">
        <v>75</v>
      </c>
      <c r="D14" s="10"/>
      <c r="E14" s="10"/>
      <c r="F14" s="10"/>
      <c r="G14" s="10"/>
      <c r="H14" s="10"/>
    </row>
    <row r="15" spans="1:8" ht="20.25" customHeight="1">
      <c r="A15" s="2" t="s">
        <v>76</v>
      </c>
      <c r="B15" s="23">
        <v>2</v>
      </c>
      <c r="C15" s="3" t="s">
        <v>77</v>
      </c>
      <c r="D15" s="10"/>
      <c r="E15" s="10"/>
      <c r="F15" s="10"/>
      <c r="G15" s="10"/>
      <c r="H15" s="10"/>
    </row>
    <row r="16" spans="1:8" ht="20.25" customHeight="1">
      <c r="A16" s="2" t="s">
        <v>78</v>
      </c>
      <c r="B16" s="23">
        <v>10</v>
      </c>
      <c r="C16" s="3" t="s">
        <v>79</v>
      </c>
      <c r="D16" s="10"/>
      <c r="E16" s="10"/>
      <c r="F16" s="10"/>
      <c r="G16" s="10"/>
      <c r="H16" s="10"/>
    </row>
    <row r="17" spans="1:8" ht="31.5" customHeight="1">
      <c r="A17" s="2" t="s">
        <v>80</v>
      </c>
      <c r="B17" s="25">
        <v>4.5379999999999997E-2</v>
      </c>
      <c r="C17" s="3" t="s">
        <v>81</v>
      </c>
      <c r="D17" s="10"/>
      <c r="E17" s="10"/>
      <c r="F17" s="10"/>
      <c r="G17" s="10"/>
      <c r="H17" s="10"/>
    </row>
    <row r="18" spans="1:8" ht="20.25" customHeight="1">
      <c r="A18" s="2" t="s">
        <v>82</v>
      </c>
      <c r="B18" s="25">
        <v>0</v>
      </c>
      <c r="C18" s="3" t="s">
        <v>83</v>
      </c>
      <c r="D18" s="10"/>
      <c r="E18" s="10"/>
      <c r="F18" s="10"/>
      <c r="G18" s="10"/>
      <c r="H18" s="10"/>
    </row>
    <row r="19" spans="1:8" ht="20.25" customHeight="1">
      <c r="A19" s="2" t="s">
        <v>84</v>
      </c>
      <c r="B19" s="25">
        <v>0</v>
      </c>
      <c r="C19" s="3" t="s">
        <v>85</v>
      </c>
      <c r="D19" s="10"/>
      <c r="E19" s="10"/>
      <c r="F19" s="10"/>
      <c r="G19" s="10"/>
      <c r="H19" s="10"/>
    </row>
    <row r="20" spans="1:8" ht="20.25" customHeight="1">
      <c r="A20" s="2" t="s">
        <v>86</v>
      </c>
      <c r="B20" s="25">
        <v>0</v>
      </c>
      <c r="C20" s="3" t="s">
        <v>87</v>
      </c>
      <c r="D20" s="10"/>
      <c r="E20" s="10"/>
      <c r="F20" s="10"/>
      <c r="G20" s="10"/>
      <c r="H20" s="10"/>
    </row>
    <row r="21" spans="1:8" ht="20.25" customHeight="1">
      <c r="A21" s="2" t="s">
        <v>88</v>
      </c>
      <c r="B21" s="26">
        <v>1</v>
      </c>
      <c r="C21" s="3" t="s">
        <v>89</v>
      </c>
      <c r="D21" s="10"/>
      <c r="E21" s="10"/>
      <c r="F21" s="10"/>
      <c r="G21" s="10"/>
      <c r="H21" s="10"/>
    </row>
    <row r="22" spans="1:8" ht="20.25" customHeight="1">
      <c r="A22" s="2" t="s">
        <v>90</v>
      </c>
      <c r="B22" s="23" t="s">
        <v>56</v>
      </c>
      <c r="C22" s="3" t="s">
        <v>91</v>
      </c>
      <c r="D22" s="10"/>
      <c r="E22" s="10"/>
      <c r="F22" s="10"/>
      <c r="G22" s="10"/>
      <c r="H22" s="10"/>
    </row>
    <row r="23" spans="1:8" ht="20.25" customHeight="1">
      <c r="A23" s="2" t="s">
        <v>92</v>
      </c>
      <c r="B23" s="25">
        <v>0.01</v>
      </c>
      <c r="C23" s="3" t="s">
        <v>93</v>
      </c>
      <c r="D23" s="10"/>
      <c r="E23" s="10"/>
      <c r="F23" s="10"/>
      <c r="G23" s="10"/>
      <c r="H23" s="10"/>
    </row>
    <row r="24" spans="1:8" ht="19.5" customHeight="1">
      <c r="A24" s="2" t="s">
        <v>94</v>
      </c>
      <c r="B24" s="25">
        <v>0.02</v>
      </c>
      <c r="C24" s="3" t="s">
        <v>95</v>
      </c>
      <c r="D24" s="10"/>
      <c r="E24" s="10"/>
      <c r="F24" s="10"/>
      <c r="G24" s="10"/>
      <c r="H24" s="10"/>
    </row>
    <row r="25" spans="1:8" ht="20.25" customHeight="1">
      <c r="A25" s="2" t="s">
        <v>96</v>
      </c>
      <c r="B25" s="23" t="s">
        <v>36</v>
      </c>
      <c r="C25" s="3" t="s">
        <v>97</v>
      </c>
      <c r="D25" s="10"/>
      <c r="E25" s="10"/>
      <c r="F25" s="10"/>
      <c r="G25" s="10"/>
      <c r="H25" s="10"/>
    </row>
    <row r="26" spans="1:8" ht="18" customHeight="1">
      <c r="A26" s="10"/>
      <c r="B26" s="10"/>
      <c r="C26" s="10"/>
      <c r="D26" s="10"/>
      <c r="E26" s="10"/>
      <c r="F26" s="10"/>
      <c r="G26" s="10"/>
      <c r="H26" s="10"/>
    </row>
    <row r="27" spans="1:8" ht="18" customHeight="1">
      <c r="A27" s="10"/>
      <c r="B27" s="10"/>
      <c r="C27" s="10"/>
      <c r="D27" s="10"/>
      <c r="E27" s="10"/>
      <c r="F27" s="10"/>
      <c r="G27" s="10"/>
      <c r="H27" s="10"/>
    </row>
    <row r="28" spans="1:8" ht="18" customHeight="1">
      <c r="A28" s="10"/>
      <c r="B28" s="10"/>
      <c r="C28" s="10"/>
      <c r="D28" s="10"/>
      <c r="E28" s="10"/>
      <c r="F28" s="10"/>
      <c r="G28" s="10"/>
      <c r="H28" s="10"/>
    </row>
    <row r="29" spans="1:8" ht="18" customHeight="1">
      <c r="A29" s="10"/>
      <c r="B29" s="10"/>
      <c r="C29" s="10"/>
      <c r="D29" s="10"/>
      <c r="E29" s="10"/>
      <c r="F29" s="10"/>
      <c r="G29" s="10"/>
      <c r="H29" s="10"/>
    </row>
    <row r="30" spans="1:8" ht="18" customHeight="1">
      <c r="A30" s="10"/>
      <c r="B30" s="10"/>
      <c r="C30" s="10"/>
      <c r="D30" s="10"/>
      <c r="E30" s="10"/>
      <c r="F30" s="10"/>
      <c r="G30" s="10"/>
      <c r="H30" s="10"/>
    </row>
    <row r="31" spans="1:8" ht="18" customHeight="1">
      <c r="A31" s="10"/>
      <c r="B31" s="10"/>
      <c r="C31" s="10"/>
      <c r="D31" s="10"/>
      <c r="E31" s="10"/>
      <c r="F31" s="10"/>
      <c r="G31" s="10"/>
      <c r="H31" s="10"/>
    </row>
    <row r="32" spans="1:8" ht="18" customHeight="1">
      <c r="A32" s="10"/>
      <c r="B32" s="10"/>
      <c r="C32" s="10"/>
      <c r="D32" s="10"/>
      <c r="E32" s="10"/>
      <c r="F32" s="10"/>
      <c r="G32" s="10"/>
      <c r="H32" s="10"/>
    </row>
    <row r="33" spans="1:8" ht="18" customHeight="1">
      <c r="A33" s="10"/>
      <c r="B33" s="10"/>
      <c r="C33" s="10"/>
      <c r="D33" s="10"/>
      <c r="E33" s="10"/>
      <c r="F33" s="10"/>
      <c r="G33" s="10"/>
      <c r="H33" s="10"/>
    </row>
    <row r="34" spans="1:8" ht="18" customHeight="1">
      <c r="A34" s="10"/>
      <c r="B34" s="10"/>
      <c r="C34" s="10"/>
      <c r="D34" s="10"/>
      <c r="E34" s="10"/>
      <c r="F34" s="10"/>
      <c r="G34" s="10"/>
      <c r="H34" s="10"/>
    </row>
    <row r="35" spans="1:8" ht="18" customHeight="1">
      <c r="A35" s="10"/>
      <c r="B35" s="10"/>
      <c r="C35" s="10"/>
      <c r="D35" s="10"/>
      <c r="E35" s="10"/>
      <c r="F35" s="10"/>
      <c r="G35" s="10"/>
      <c r="H35" s="10"/>
    </row>
    <row r="36" spans="1:8" ht="18" customHeight="1">
      <c r="A36" s="10"/>
      <c r="B36" s="10"/>
      <c r="C36" s="10"/>
      <c r="D36" s="10"/>
      <c r="E36" s="10"/>
      <c r="F36" s="10"/>
      <c r="G36" s="10"/>
      <c r="H36" s="10"/>
    </row>
    <row r="37" spans="1:8" ht="18" customHeight="1">
      <c r="A37" s="10"/>
      <c r="B37" s="10"/>
      <c r="C37" s="10"/>
      <c r="D37" s="10"/>
      <c r="E37" s="10"/>
      <c r="F37" s="10"/>
      <c r="G37" s="10"/>
      <c r="H37" s="10"/>
    </row>
    <row r="38" spans="1:8" ht="18" customHeight="1">
      <c r="A38" s="10"/>
      <c r="B38" s="10"/>
      <c r="C38" s="10"/>
      <c r="D38" s="10"/>
      <c r="E38" s="10"/>
      <c r="F38" s="10"/>
      <c r="G38" s="10"/>
      <c r="H38" s="10"/>
    </row>
    <row r="39" spans="1:8" ht="18" customHeight="1">
      <c r="A39" s="10"/>
      <c r="B39" s="10"/>
      <c r="C39" s="10"/>
      <c r="D39" s="10"/>
      <c r="E39" s="10"/>
      <c r="F39" s="10"/>
      <c r="G39" s="10"/>
      <c r="H39" s="10"/>
    </row>
    <row r="40" spans="1:8" ht="18" customHeight="1">
      <c r="A40" s="10"/>
      <c r="B40" s="10"/>
      <c r="C40" s="10"/>
      <c r="D40" s="10"/>
      <c r="E40" s="10"/>
      <c r="F40" s="10"/>
      <c r="G40" s="10"/>
      <c r="H40" s="10"/>
    </row>
  </sheetData>
  <sheetProtection sheet="1" objects="1" scenarios="1" selectLockedCells="1"/>
  <mergeCells count="2">
    <mergeCell ref="A1:E1"/>
    <mergeCell ref="A3:E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100-000000000000}">
          <x14:formula1>
            <xm:f>Lists!$A$2:$A$4</xm:f>
          </x14:formula1>
          <xm:sqref>B6</xm:sqref>
        </x14:dataValidation>
        <x14:dataValidation type="list" xr:uid="{00000000-0002-0000-0100-000001000000}">
          <x14:formula1>
            <xm:f>Lists!$M$2:$M$6</xm:f>
          </x14:formula1>
          <xm:sqref>B7 B22</xm:sqref>
        </x14:dataValidation>
        <x14:dataValidation type="list" xr:uid="{00000000-0002-0000-0100-000002000000}">
          <x14:formula1>
            <xm:f>Lists!$C$2:$C$3</xm:f>
          </x14:formula1>
          <xm:sqref>B8</xm:sqref>
        </x14:dataValidation>
        <x14:dataValidation type="list" xr:uid="{00000000-0002-0000-0100-000003000000}">
          <x14:formula1>
            <xm:f>Lists!$E$2:$E$3</xm:f>
          </x14:formula1>
          <xm:sqref>B9</xm:sqref>
        </x14:dataValidation>
        <x14:dataValidation type="list" xr:uid="{00000000-0002-0000-0100-000004000000}">
          <x14:formula1>
            <xm:f>Lists!$G$2:$G$4</xm:f>
          </x14:formula1>
          <xm:sqref>B10</xm:sqref>
        </x14:dataValidation>
        <x14:dataValidation type="list" xr:uid="{00000000-0002-0000-0100-000005000000}">
          <x14:formula1>
            <xm:f>Lists!$I$2:$I$11</xm:f>
          </x14:formula1>
          <xm:sqref>B11</xm:sqref>
        </x14:dataValidation>
        <x14:dataValidation type="list" xr:uid="{00000000-0002-0000-0100-000007000000}">
          <x14:formula1>
            <xm:f>Lists!$K$2:$K$4</xm:f>
          </x14:formula1>
          <xm:sqref>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>
      <selection activeCell="C16" sqref="C16"/>
    </sheetView>
  </sheetViews>
  <sheetFormatPr defaultRowHeight="14.25"/>
  <cols>
    <col min="1" max="1" width="42" customWidth="1"/>
    <col min="2" max="2" width="25" customWidth="1"/>
    <col min="3" max="3" width="18" customWidth="1"/>
  </cols>
  <sheetData>
    <row r="1" spans="1:8" ht="30" customHeight="1">
      <c r="A1" s="45" t="s">
        <v>98</v>
      </c>
      <c r="B1" s="49"/>
      <c r="C1" s="49"/>
      <c r="D1" s="49"/>
      <c r="E1" s="49"/>
      <c r="F1" s="10"/>
      <c r="G1" s="10"/>
      <c r="H1" s="10"/>
    </row>
    <row r="2" spans="1:8" ht="18" customHeight="1">
      <c r="A2" s="10"/>
      <c r="B2" s="10"/>
      <c r="C2" s="10"/>
      <c r="D2" s="10"/>
      <c r="E2" s="10"/>
      <c r="F2" s="10"/>
      <c r="G2" s="10"/>
      <c r="H2" s="10"/>
    </row>
    <row r="3" spans="1:8" ht="18" customHeight="1">
      <c r="A3" s="50" t="s">
        <v>99</v>
      </c>
      <c r="B3" s="49"/>
      <c r="C3" s="49"/>
      <c r="D3" s="49"/>
      <c r="E3" s="49"/>
      <c r="F3" s="10"/>
      <c r="G3" s="10"/>
      <c r="H3" s="10"/>
    </row>
    <row r="4" spans="1:8" ht="18" customHeight="1">
      <c r="A4" s="1" t="s">
        <v>100</v>
      </c>
      <c r="B4" s="5">
        <f>Inputs!$B$12</f>
        <v>1000</v>
      </c>
      <c r="C4" s="1" t="s">
        <v>101</v>
      </c>
      <c r="D4" s="10"/>
      <c r="E4" s="10"/>
      <c r="F4" s="10"/>
      <c r="G4" s="10"/>
      <c r="H4" s="10"/>
    </row>
    <row r="5" spans="1:8" ht="18" customHeight="1">
      <c r="A5" s="2" t="s">
        <v>102</v>
      </c>
      <c r="B5" s="6">
        <f>Inputs!$B$13</f>
        <v>987.03</v>
      </c>
      <c r="C5" s="10" t="s">
        <v>101</v>
      </c>
      <c r="D5" s="10"/>
      <c r="E5" s="10"/>
      <c r="F5" s="10"/>
      <c r="G5" s="10"/>
      <c r="H5" s="10"/>
    </row>
    <row r="6" spans="1:8" ht="18" customHeight="1">
      <c r="A6" s="2" t="s">
        <v>103</v>
      </c>
      <c r="B6" s="6">
        <f>B5*Inputs!$B$19</f>
        <v>0</v>
      </c>
      <c r="C6" s="10" t="s">
        <v>101</v>
      </c>
      <c r="D6" s="10"/>
      <c r="E6" s="10"/>
      <c r="F6" s="10"/>
      <c r="G6" s="10"/>
      <c r="H6" s="10"/>
    </row>
    <row r="7" spans="1:8" ht="18" customHeight="1">
      <c r="A7" s="2" t="s">
        <v>104</v>
      </c>
      <c r="B7" s="6">
        <f>B5+B6</f>
        <v>987.03</v>
      </c>
      <c r="C7" s="10" t="s">
        <v>101</v>
      </c>
      <c r="D7" s="10"/>
      <c r="E7" s="10"/>
      <c r="F7" s="10"/>
      <c r="G7" s="10"/>
      <c r="H7" s="10"/>
    </row>
    <row r="8" spans="1:8" ht="18" customHeight="1">
      <c r="A8" s="2" t="s">
        <v>105</v>
      </c>
      <c r="B8" s="6">
        <f>B5-B6</f>
        <v>987.03</v>
      </c>
      <c r="C8" s="10" t="s">
        <v>101</v>
      </c>
      <c r="D8" s="10"/>
      <c r="E8" s="10"/>
      <c r="F8" s="10"/>
      <c r="G8" s="10"/>
      <c r="H8" s="10"/>
    </row>
    <row r="9" spans="1:8" ht="18" customHeight="1">
      <c r="A9" s="2" t="s">
        <v>106</v>
      </c>
      <c r="B9" s="6">
        <f>Inputs!$B$14*B4</f>
        <v>43.75</v>
      </c>
      <c r="C9" s="10" t="s">
        <v>107</v>
      </c>
      <c r="D9" s="10"/>
      <c r="E9" s="10"/>
      <c r="F9" s="10"/>
      <c r="G9" s="10"/>
      <c r="H9" s="10"/>
    </row>
    <row r="10" spans="1:8" ht="18" customHeight="1">
      <c r="A10" s="2" t="s">
        <v>108</v>
      </c>
      <c r="B10" s="6">
        <f>B9*(1-Inputs!$B$20)</f>
        <v>43.75</v>
      </c>
      <c r="C10" s="10" t="s">
        <v>107</v>
      </c>
      <c r="D10" s="10"/>
      <c r="E10" s="10"/>
      <c r="F10" s="10"/>
      <c r="G10" s="10"/>
      <c r="H10" s="10"/>
    </row>
    <row r="11" spans="1:8" ht="18" customHeight="1">
      <c r="A11" s="2" t="s">
        <v>109</v>
      </c>
      <c r="B11" s="6">
        <f>B10/Inputs!$B$15</f>
        <v>21.875</v>
      </c>
      <c r="C11" s="10" t="s">
        <v>110</v>
      </c>
      <c r="D11" s="10"/>
      <c r="E11" s="10"/>
      <c r="F11" s="10"/>
      <c r="G11" s="10"/>
      <c r="H11" s="10"/>
    </row>
    <row r="12" spans="1:8" ht="18" customHeight="1">
      <c r="A12" s="2" t="s">
        <v>111</v>
      </c>
      <c r="B12" s="7">
        <f>Inputs!$B$16*Inputs!$B$15</f>
        <v>20</v>
      </c>
      <c r="C12" s="10" t="s">
        <v>112</v>
      </c>
      <c r="D12" s="10"/>
      <c r="E12" s="10"/>
      <c r="F12" s="10"/>
      <c r="G12" s="10"/>
      <c r="H12" s="10"/>
    </row>
    <row r="13" spans="1:8" ht="18" customHeight="1">
      <c r="A13" s="2" t="s">
        <v>113</v>
      </c>
      <c r="B13" s="8">
        <f>Inputs!$B$17/Inputs!$B$15</f>
        <v>2.2689999999999998E-2</v>
      </c>
      <c r="C13" s="10" t="s">
        <v>114</v>
      </c>
      <c r="D13" s="10"/>
      <c r="E13" s="10"/>
      <c r="F13" s="10"/>
      <c r="G13" s="10"/>
      <c r="H13" s="10"/>
    </row>
    <row r="14" spans="1:8" ht="18" customHeight="1">
      <c r="A14" s="2" t="s">
        <v>115</v>
      </c>
      <c r="B14" s="4">
        <f>IF(B13=0,B11*B12+B4,B11*(1-POWER(1+B13,-B12))/B13+B4/POWER(1+B13,B12))</f>
        <v>987.01314538147801</v>
      </c>
      <c r="C14" s="10" t="s">
        <v>101</v>
      </c>
      <c r="D14" s="10"/>
      <c r="E14" s="10"/>
      <c r="F14" s="10"/>
      <c r="G14" s="10"/>
      <c r="H14" s="10"/>
    </row>
    <row r="15" spans="1:8" ht="18" customHeight="1">
      <c r="A15" s="2" t="s">
        <v>116</v>
      </c>
      <c r="B15" s="12">
        <f>IFERROR(B14/B7,"")</f>
        <v>0.9999829239045197</v>
      </c>
      <c r="C15" s="10" t="s">
        <v>117</v>
      </c>
      <c r="D15" s="10"/>
      <c r="E15" s="10"/>
      <c r="F15" s="10"/>
      <c r="G15" s="10"/>
      <c r="H15" s="10"/>
    </row>
    <row r="16" spans="1:8" ht="18" customHeight="1">
      <c r="A16" s="2" t="s">
        <v>118</v>
      </c>
      <c r="B16" s="12">
        <f>IFERROR(B9/B5,"")</f>
        <v>4.4324893873539814E-2</v>
      </c>
      <c r="C16" s="10" t="s">
        <v>119</v>
      </c>
      <c r="D16" s="10"/>
      <c r="E16" s="10"/>
      <c r="F16" s="10"/>
      <c r="G16" s="10"/>
      <c r="H16" s="10"/>
    </row>
    <row r="17" spans="1:8" ht="18" customHeight="1">
      <c r="A17" s="2" t="s">
        <v>120</v>
      </c>
      <c r="B17" s="12">
        <f>IFERROR(RATE(B12,B9/Inputs!$B$15,-B5,B4)*Inputs!$B$15,"")</f>
        <v>4.5377867996009694E-2</v>
      </c>
      <c r="C17" s="10" t="s">
        <v>119</v>
      </c>
      <c r="D17" s="10"/>
      <c r="E17" s="10"/>
      <c r="F17" s="10"/>
      <c r="G17" s="10"/>
      <c r="H17" s="10"/>
    </row>
    <row r="18" spans="1:8" ht="18" customHeight="1">
      <c r="A18" s="2" t="s">
        <v>121</v>
      </c>
      <c r="B18" s="12">
        <f>IFERROR(RATE(B12,B11,-B7,B4)*Inputs!$B$15,"")</f>
        <v>4.5377867996009694E-2</v>
      </c>
      <c r="C18" s="10" t="s">
        <v>119</v>
      </c>
      <c r="D18" s="10"/>
      <c r="E18" s="10"/>
      <c r="F18" s="10"/>
      <c r="G18" s="10"/>
      <c r="H18" s="10"/>
    </row>
    <row r="19" spans="1:8" ht="18" customHeight="1">
      <c r="A19" s="2" t="s">
        <v>122</v>
      </c>
      <c r="B19" s="12">
        <f>IFERROR((B10+(B4-B7)/Inputs!$B$16)/((B4+B7)/2),"")</f>
        <v>4.5341036622496896E-2</v>
      </c>
      <c r="C19" s="10" t="s">
        <v>119</v>
      </c>
      <c r="D19" s="10"/>
      <c r="E19" s="10"/>
      <c r="F19" s="10"/>
      <c r="G19" s="10"/>
      <c r="H19" s="10"/>
    </row>
    <row r="20" spans="1:8" ht="18" customHeight="1">
      <c r="A20" s="2" t="s">
        <v>123</v>
      </c>
      <c r="B20" s="12">
        <f>IFERROR(POWER((B4+FV(Inputs!$B$18/Inputs!$B$15,B12,-B11,0,0))/B7,1/Inputs!$B$16)-1,"")</f>
        <v>3.8311705371188332E-2</v>
      </c>
      <c r="C20" s="10" t="s">
        <v>119</v>
      </c>
      <c r="D20" s="10"/>
      <c r="E20" s="10"/>
      <c r="F20" s="10"/>
      <c r="G20" s="10"/>
      <c r="H20" s="10"/>
    </row>
    <row r="21" spans="1:8" ht="18" customHeight="1">
      <c r="A21" s="2" t="s">
        <v>9</v>
      </c>
      <c r="B21" s="13">
        <f>SUM(Cash_Flows!$G$6:$G$605)</f>
        <v>8.1912191162891403</v>
      </c>
      <c r="C21" s="10" t="s">
        <v>124</v>
      </c>
      <c r="D21" s="10"/>
      <c r="E21" s="10"/>
      <c r="F21" s="10"/>
      <c r="G21" s="10"/>
      <c r="H21" s="10"/>
    </row>
    <row r="22" spans="1:8" ht="18" customHeight="1">
      <c r="A22" s="2" t="s">
        <v>13</v>
      </c>
      <c r="B22" s="13">
        <f>IFERROR(B21/(1+B18/Inputs!$B$15),"")</f>
        <v>8.0094922747107002</v>
      </c>
      <c r="C22" s="10" t="s">
        <v>124</v>
      </c>
      <c r="D22" s="10"/>
      <c r="E22" s="10"/>
      <c r="F22" s="10"/>
      <c r="G22" s="10"/>
      <c r="H22" s="10"/>
    </row>
    <row r="23" spans="1:8" ht="18" customHeight="1">
      <c r="A23" s="2" t="s">
        <v>125</v>
      </c>
      <c r="B23" s="12">
        <f>IFERROR(-B22*Inputs!$B$23,"")</f>
        <v>-8.0094922747107E-2</v>
      </c>
      <c r="C23" s="10" t="s">
        <v>119</v>
      </c>
      <c r="D23" s="10"/>
      <c r="E23" s="10"/>
      <c r="F23" s="10"/>
      <c r="G23" s="10"/>
      <c r="H23" s="10"/>
    </row>
    <row r="24" spans="1:8" ht="18" customHeight="1">
      <c r="A24" s="2" t="s">
        <v>126</v>
      </c>
      <c r="B24" s="14">
        <f>IFERROR(B5*(1+B23),"")</f>
        <v>907.97390840092294</v>
      </c>
      <c r="C24" s="10" t="s">
        <v>101</v>
      </c>
      <c r="D24" s="10"/>
      <c r="E24" s="10"/>
      <c r="F24" s="10"/>
      <c r="G24" s="10"/>
      <c r="H24" s="10"/>
    </row>
    <row r="25" spans="1:8" ht="29.25" customHeight="1">
      <c r="A25" s="2" t="s">
        <v>127</v>
      </c>
      <c r="B25" s="4" t="str">
        <f>IF(ABS(B5-B4)/B4&lt;0.001,"At par / κοντά στην ονομαστική αξία",IF(B5&gt;B4,"Premium / πάνω από την ονομαστική αξία","Discount / κάτω από την ονομαστική αξία"))</f>
        <v>Discount / κάτω από την ονομαστική αξία</v>
      </c>
      <c r="C25" s="10" t="s">
        <v>128</v>
      </c>
      <c r="D25" s="10"/>
      <c r="E25" s="10"/>
      <c r="F25" s="10"/>
      <c r="G25" s="10"/>
      <c r="H25" s="10"/>
    </row>
    <row r="26" spans="1:8" ht="33.75" customHeight="1">
      <c r="A26" s="2" t="s">
        <v>129</v>
      </c>
      <c r="B26" s="4" t="str">
        <f>IF(TRIM(Inputs!$B$25)="Αγορά",IF(B28="Υψηλός","ΜΗ ΑΓΟΡΑ / ΥΨΗΛΟΣ ΚΙΝΔΥΝΟΣ",IF(AND(B15&gt;=1+Inputs!$B$24,B18&gt;=Inputs!$B$17),"ΑΓΟΡΑ",IF(OR(B15&gt;=1,B18&gt;=Inputs!$B$17),"ΕΠΙΛΕΚΤΙΚΗ ΑΓΟΡΑ / ΜΕ ΠΡΟΣΟΧΗ","ΜΗ ΑΓΟΡΑ / ΠΕΡΙΜΕΝΕ"))),IF(TRIM(Inputs!$B$25)="Πώληση",IF(B28="Υψηλός","ΠΩΛΗΣΗ / ΕΛΕΓΧΟΣ ΚΙΝΔΥΝΟΥ",IF(OR(B15&lt;=1-Inputs!$B$24,B18&lt;Inputs!$B$17),"ΠΩΛΗΣΗ","ΜΗ ΠΩΛΗΣΗ / ΔΙΑΚΡΑΤΗΣΗ")),IF(TRIM(Inputs!$B$25)="Διακράτηση",IF(B28="Υψηλός","ΕΠΑΝΕΞΕΤΑΣΗ / ΠΙΘΑΝΗ ΠΩΛΗΣΗ",IF(OR(B15&lt;=1-Inputs!$B$24,B18&lt;Inputs!$B$17),"ΔΙΑΚΡΑΤΗΣΗ ΜΕ ΠΡΟΣΟΧΗ / ΕΠΑΝΕΞΕΤΑΣΗ","ΔΙΑΚΡΑΤΗΣΗ")),"ΕΛΕΓΞΕ ΒΑΣΗ ΑΞΙΟΛΟΓΗΣΗΣ")))</f>
        <v>ΜΗ ΑΓΟΡΑ / ΠΕΡΙΜΕΝΕ</v>
      </c>
      <c r="C26" s="10" t="s">
        <v>128</v>
      </c>
      <c r="D26" s="10"/>
      <c r="E26" s="10"/>
      <c r="F26" s="10"/>
      <c r="G26" s="10"/>
      <c r="H26" s="10"/>
    </row>
    <row r="27" spans="1:8" ht="18" customHeight="1">
      <c r="A27" s="2" t="s">
        <v>33</v>
      </c>
      <c r="B27" s="4" t="str">
        <f>"Βάση="&amp;Inputs!$B$25&amp;". IV/Κόστος="&amp;TEXT(B15,"0.00x")&amp;", YTM καθαρό="&amp;TEXT(B18,"0.00%")&amp;", r="&amp;TEXT(Inputs!$B$17,"0.00%")&amp;", κίνδυνος="&amp;B28&amp;"."</f>
        <v>Βάση=Αγορά. IV/Κόστος=001x, YTM καθαρό=005%, r=005%, κίνδυνος=Μέσος.</v>
      </c>
      <c r="C27" s="10" t="s">
        <v>128</v>
      </c>
      <c r="D27" s="10"/>
      <c r="E27" s="10"/>
      <c r="F27" s="10"/>
      <c r="G27" s="10"/>
      <c r="H27" s="10"/>
    </row>
    <row r="28" spans="1:8" ht="18" customHeight="1">
      <c r="A28" s="2" t="s">
        <v>3</v>
      </c>
      <c r="B28" s="4" t="str">
        <f>Risk!$B$15</f>
        <v>Μέσος</v>
      </c>
      <c r="C28" s="10" t="s">
        <v>128</v>
      </c>
      <c r="D28" s="10"/>
      <c r="E28" s="10"/>
      <c r="F28" s="10"/>
      <c r="G28" s="10"/>
      <c r="H28" s="10"/>
    </row>
    <row r="29" spans="1:8" ht="18" customHeight="1">
      <c r="A29" s="2" t="s">
        <v>29</v>
      </c>
      <c r="B29" s="6">
        <f>B7*Inputs!$B$21</f>
        <v>987.03</v>
      </c>
      <c r="C29" s="10" t="s">
        <v>101</v>
      </c>
      <c r="D29" s="10"/>
      <c r="E29" s="10"/>
      <c r="F29" s="10"/>
      <c r="G29" s="10"/>
      <c r="H29" s="10"/>
    </row>
    <row r="30" spans="1:8" ht="18" customHeight="1">
      <c r="A30" s="10"/>
      <c r="B30" s="10"/>
      <c r="C30" s="10"/>
      <c r="D30" s="10"/>
      <c r="E30" s="10"/>
      <c r="F30" s="10"/>
      <c r="G30" s="10"/>
      <c r="H30" s="10"/>
    </row>
    <row r="31" spans="1:8" ht="18" customHeight="1">
      <c r="A31" s="10"/>
      <c r="B31" s="10"/>
      <c r="C31" s="10"/>
      <c r="D31" s="10"/>
      <c r="E31" s="10"/>
      <c r="F31" s="10"/>
      <c r="G31" s="10"/>
      <c r="H31" s="10"/>
    </row>
    <row r="32" spans="1:8" ht="18" customHeight="1">
      <c r="A32" s="10"/>
      <c r="B32" s="10"/>
      <c r="C32" s="10"/>
      <c r="D32" s="10"/>
      <c r="E32" s="10"/>
      <c r="F32" s="10"/>
      <c r="G32" s="10"/>
      <c r="H32" s="10"/>
    </row>
    <row r="33" spans="1:8" ht="18" customHeight="1">
      <c r="A33" s="10"/>
      <c r="B33" s="10"/>
      <c r="C33" s="10"/>
      <c r="D33" s="10"/>
      <c r="E33" s="10"/>
      <c r="F33" s="10"/>
      <c r="G33" s="10"/>
      <c r="H33" s="10"/>
    </row>
    <row r="34" spans="1:8" ht="18" customHeight="1">
      <c r="A34" s="10"/>
      <c r="B34" s="10"/>
      <c r="C34" s="10"/>
      <c r="D34" s="10"/>
      <c r="E34" s="10"/>
      <c r="F34" s="10"/>
      <c r="G34" s="10"/>
      <c r="H34" s="10"/>
    </row>
    <row r="35" spans="1:8" ht="18" customHeight="1">
      <c r="A35" s="10"/>
      <c r="B35" s="10"/>
      <c r="C35" s="10"/>
      <c r="D35" s="10"/>
      <c r="E35" s="10"/>
      <c r="F35" s="10"/>
      <c r="G35" s="10"/>
      <c r="H35" s="10"/>
    </row>
    <row r="36" spans="1:8" ht="18" customHeight="1">
      <c r="A36" s="10"/>
      <c r="B36" s="10"/>
      <c r="C36" s="10"/>
      <c r="D36" s="10"/>
      <c r="E36" s="10"/>
      <c r="F36" s="10"/>
      <c r="G36" s="10"/>
      <c r="H36" s="10"/>
    </row>
    <row r="37" spans="1:8" ht="18" customHeight="1">
      <c r="A37" s="10"/>
      <c r="B37" s="10"/>
      <c r="C37" s="10"/>
      <c r="D37" s="10"/>
      <c r="E37" s="10"/>
      <c r="F37" s="10"/>
      <c r="G37" s="10"/>
      <c r="H37" s="10"/>
    </row>
    <row r="38" spans="1:8" ht="18" customHeight="1">
      <c r="A38" s="10"/>
      <c r="B38" s="10"/>
      <c r="C38" s="10"/>
      <c r="D38" s="10"/>
      <c r="E38" s="10"/>
      <c r="F38" s="10"/>
      <c r="G38" s="10"/>
      <c r="H38" s="10"/>
    </row>
    <row r="39" spans="1:8" ht="18" customHeight="1">
      <c r="A39" s="10"/>
      <c r="B39" s="10"/>
      <c r="C39" s="10"/>
      <c r="D39" s="10"/>
      <c r="E39" s="10"/>
      <c r="F39" s="10"/>
      <c r="G39" s="10"/>
      <c r="H39" s="10"/>
    </row>
    <row r="40" spans="1:8" ht="18" customHeight="1">
      <c r="A40" s="10"/>
      <c r="B40" s="10"/>
      <c r="C40" s="10"/>
      <c r="D40" s="10"/>
      <c r="E40" s="10"/>
      <c r="F40" s="10"/>
      <c r="G40" s="10"/>
      <c r="H40" s="10"/>
    </row>
  </sheetData>
  <sheetProtection sheet="1" objects="1" scenarios="1" selectLockedCells="1"/>
  <mergeCells count="2">
    <mergeCell ref="A1:E1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5"/>
  <sheetViews>
    <sheetView workbookViewId="0">
      <selection activeCell="C6" sqref="C6"/>
    </sheetView>
  </sheetViews>
  <sheetFormatPr defaultRowHeight="14.25"/>
  <cols>
    <col min="1" max="7" width="16" customWidth="1"/>
  </cols>
  <sheetData>
    <row r="1" spans="1:8" ht="30" customHeight="1">
      <c r="A1" s="51" t="s">
        <v>130</v>
      </c>
      <c r="B1" s="52"/>
      <c r="C1" s="52"/>
      <c r="D1" s="52"/>
      <c r="E1" s="52"/>
      <c r="F1" s="52"/>
      <c r="G1" s="52"/>
      <c r="H1" s="52"/>
    </row>
    <row r="3" spans="1:8" ht="21.95" customHeight="1">
      <c r="A3" s="53" t="s">
        <v>131</v>
      </c>
      <c r="B3" s="52"/>
      <c r="C3" s="52"/>
      <c r="D3" s="52"/>
      <c r="E3" s="52"/>
      <c r="F3" s="52"/>
      <c r="G3" s="52"/>
      <c r="H3" s="52"/>
    </row>
    <row r="5" spans="1:8" ht="15">
      <c r="A5" s="1" t="s">
        <v>132</v>
      </c>
      <c r="B5" s="1" t="s">
        <v>133</v>
      </c>
      <c r="C5" s="1" t="s">
        <v>134</v>
      </c>
      <c r="D5" s="1" t="s">
        <v>135</v>
      </c>
      <c r="E5" s="1" t="s">
        <v>136</v>
      </c>
      <c r="F5" s="1" t="s">
        <v>137</v>
      </c>
      <c r="G5" s="1" t="s">
        <v>138</v>
      </c>
    </row>
    <row r="6" spans="1:8">
      <c r="A6" s="27">
        <v>1</v>
      </c>
      <c r="B6" s="28">
        <f>IF(A6&lt;=Analysis!$B$12,A6/Inputs!$B$15,0)</f>
        <v>0.5</v>
      </c>
      <c r="C6" s="29">
        <f>IF(A6&lt;=Analysis!$B$12,Analysis!$B$11+IF(A6=Analysis!$B$12,Analysis!$B$4,0),0)</f>
        <v>21.875</v>
      </c>
      <c r="D6" s="29">
        <f>IFERROR(IF(A6&lt;=Analysis!$B$12,1/POWER(1+Analysis!$B$18/Inputs!$B$15,A6),0),0)</f>
        <v>0.97781443287030911</v>
      </c>
      <c r="E6" s="29">
        <f t="shared" ref="E6:E69" si="0">C6*D6</f>
        <v>21.389690719038011</v>
      </c>
      <c r="F6" s="30">
        <f t="shared" ref="F6:F69" si="1">IFERROR(E6/SUM($E$6:$E$605),0)</f>
        <v>2.1670760482496512E-2</v>
      </c>
      <c r="G6" s="28">
        <f t="shared" ref="G6:G69" si="2">B6*F6</f>
        <v>1.0835380241248256E-2</v>
      </c>
    </row>
    <row r="7" spans="1:8">
      <c r="A7" s="27">
        <v>2</v>
      </c>
      <c r="B7" s="28">
        <f>IF(A7&lt;=Analysis!$B$12,A7/Inputs!$B$15,0)</f>
        <v>1</v>
      </c>
      <c r="C7" s="29">
        <f>IF(A7&lt;=Analysis!$B$12,Analysis!$B$11+IF(A7=Analysis!$B$12,Analysis!$B$4,0),0)</f>
        <v>21.875</v>
      </c>
      <c r="D7" s="29">
        <f>IFERROR(IF(A7&lt;=Analysis!$B$12,1/POWER(1+Analysis!$B$18/Inputs!$B$15,A7),0),0)</f>
        <v>0.95612106512948414</v>
      </c>
      <c r="E7" s="29">
        <f t="shared" si="0"/>
        <v>20.915148299707464</v>
      </c>
      <c r="F7" s="30">
        <f t="shared" si="1"/>
        <v>2.118998237106063E-2</v>
      </c>
      <c r="G7" s="28">
        <f t="shared" si="2"/>
        <v>2.118998237106063E-2</v>
      </c>
    </row>
    <row r="8" spans="1:8">
      <c r="A8" s="27">
        <v>3</v>
      </c>
      <c r="B8" s="28">
        <f>IF(A8&lt;=Analysis!$B$12,A8/Inputs!$B$15,0)</f>
        <v>1.5</v>
      </c>
      <c r="C8" s="29">
        <f>IF(A8&lt;=Analysis!$B$12,Analysis!$B$11+IF(A8=Analysis!$B$12,Analysis!$B$4,0),0)</f>
        <v>21.875</v>
      </c>
      <c r="D8" s="29">
        <f>IFERROR(IF(A8&lt;=Analysis!$B$12,1/POWER(1+Analysis!$B$18/Inputs!$B$15,A8),0),0)</f>
        <v>0.93490897705494247</v>
      </c>
      <c r="E8" s="29">
        <f t="shared" si="0"/>
        <v>20.451133873076866</v>
      </c>
      <c r="F8" s="30">
        <f t="shared" si="1"/>
        <v>2.07198705946905E-2</v>
      </c>
      <c r="G8" s="28">
        <f t="shared" si="2"/>
        <v>3.1079805892035749E-2</v>
      </c>
    </row>
    <row r="9" spans="1:8">
      <c r="A9" s="27">
        <v>4</v>
      </c>
      <c r="B9" s="28">
        <f>IF(A9&lt;=Analysis!$B$12,A9/Inputs!$B$15,0)</f>
        <v>2</v>
      </c>
      <c r="C9" s="29">
        <f>IF(A9&lt;=Analysis!$B$12,Analysis!$B$11+IF(A9=Analysis!$B$12,Analysis!$B$4,0),0)</f>
        <v>21.875</v>
      </c>
      <c r="D9" s="29">
        <f>IFERROR(IF(A9&lt;=Analysis!$B$12,1/POWER(1+Analysis!$B$18/Inputs!$B$15,A9),0),0)</f>
        <v>0.91416749118433915</v>
      </c>
      <c r="E9" s="29">
        <f t="shared" si="0"/>
        <v>19.997413869657418</v>
      </c>
      <c r="F9" s="30">
        <f t="shared" si="1"/>
        <v>2.0260188514693477E-2</v>
      </c>
      <c r="G9" s="28">
        <f t="shared" si="2"/>
        <v>4.0520377029386954E-2</v>
      </c>
    </row>
    <row r="10" spans="1:8">
      <c r="A10" s="27">
        <v>5</v>
      </c>
      <c r="B10" s="28">
        <f>IF(A10&lt;=Analysis!$B$12,A10/Inputs!$B$15,0)</f>
        <v>2.5</v>
      </c>
      <c r="C10" s="29">
        <f>IF(A10&lt;=Analysis!$B$12,Analysis!$B$11+IF(A10=Analysis!$B$12,Analysis!$B$4,0),0)</f>
        <v>21.875</v>
      </c>
      <c r="D10" s="29">
        <f>IFERROR(IF(A10&lt;=Analysis!$B$12,1/POWER(1+Analysis!$B$18/Inputs!$B$15,A10),0),0)</f>
        <v>0.89388616694088796</v>
      </c>
      <c r="E10" s="29">
        <f t="shared" si="0"/>
        <v>19.553759901831924</v>
      </c>
      <c r="F10" s="30">
        <f t="shared" si="1"/>
        <v>1.9810704742340556E-2</v>
      </c>
      <c r="G10" s="28">
        <f t="shared" si="2"/>
        <v>4.9526761855851392E-2</v>
      </c>
    </row>
    <row r="11" spans="1:8">
      <c r="A11" s="27">
        <v>6</v>
      </c>
      <c r="B11" s="28">
        <f>IF(A11&lt;=Analysis!$B$12,A11/Inputs!$B$15,0)</f>
        <v>3</v>
      </c>
      <c r="C11" s="29">
        <f>IF(A11&lt;=Analysis!$B$12,Analysis!$B$11+IF(A11=Analysis!$B$12,Analysis!$B$4,0),0)</f>
        <v>21.875</v>
      </c>
      <c r="D11" s="29">
        <f>IFERROR(IF(A11&lt;=Analysis!$B$12,1/POWER(1+Analysis!$B$18/Inputs!$B$15,A11),0),0)</f>
        <v>0.87405479537791875</v>
      </c>
      <c r="E11" s="29">
        <f t="shared" si="0"/>
        <v>19.119948648891974</v>
      </c>
      <c r="F11" s="30">
        <f t="shared" si="1"/>
        <v>1.9371193022392874E-2</v>
      </c>
      <c r="G11" s="28">
        <f t="shared" si="2"/>
        <v>5.8113579067178622E-2</v>
      </c>
    </row>
    <row r="12" spans="1:8">
      <c r="A12" s="27">
        <v>7</v>
      </c>
      <c r="B12" s="28">
        <f>IF(A12&lt;=Analysis!$B$12,A12/Inputs!$B$15,0)</f>
        <v>3.5</v>
      </c>
      <c r="C12" s="29">
        <f>IF(A12&lt;=Analysis!$B$12,Analysis!$B$11+IF(A12=Analysis!$B$12,Analysis!$B$4,0),0)</f>
        <v>21.875</v>
      </c>
      <c r="D12" s="29">
        <f>IFERROR(IF(A12&lt;=Analysis!$B$12,1/POWER(1+Analysis!$B$18/Inputs!$B$15,A12),0),0)</f>
        <v>0.85466339404003366</v>
      </c>
      <c r="E12" s="29">
        <f t="shared" si="0"/>
        <v>18.695761744625738</v>
      </c>
      <c r="F12" s="30">
        <f t="shared" si="1"/>
        <v>1.8941432119212377E-2</v>
      </c>
      <c r="G12" s="28">
        <f t="shared" si="2"/>
        <v>6.6295012417243324E-2</v>
      </c>
    </row>
    <row r="13" spans="1:8">
      <c r="A13" s="27">
        <v>8</v>
      </c>
      <c r="B13" s="28">
        <f>IF(A13&lt;=Analysis!$B$12,A13/Inputs!$B$15,0)</f>
        <v>4</v>
      </c>
      <c r="C13" s="29">
        <f>IF(A13&lt;=Analysis!$B$12,Analysis!$B$11+IF(A13=Analysis!$B$12,Analysis!$B$4,0),0)</f>
        <v>21.875</v>
      </c>
      <c r="D13" s="29">
        <f>IFERROR(IF(A13&lt;=Analysis!$B$12,1/POWER(1+Analysis!$B$18/Inputs!$B$15,A13),0),0)</f>
        <v>0.83570220193826894</v>
      </c>
      <c r="E13" s="29">
        <f t="shared" si="0"/>
        <v>18.280985667399634</v>
      </c>
      <c r="F13" s="30">
        <f t="shared" si="1"/>
        <v>1.8521205705399106E-2</v>
      </c>
      <c r="G13" s="28">
        <f t="shared" si="2"/>
        <v>7.4084822821596424E-2</v>
      </c>
    </row>
    <row r="14" spans="1:8">
      <c r="A14" s="27">
        <v>9</v>
      </c>
      <c r="B14" s="28">
        <f>IF(A14&lt;=Analysis!$B$12,A14/Inputs!$B$15,0)</f>
        <v>4.5</v>
      </c>
      <c r="C14" s="29">
        <f>IF(A14&lt;=Analysis!$B$12,Analysis!$B$11+IF(A14=Analysis!$B$12,Analysis!$B$4,0),0)</f>
        <v>21.875</v>
      </c>
      <c r="D14" s="29">
        <f>IFERROR(IF(A14&lt;=Analysis!$B$12,1/POWER(1+Analysis!$B$18/Inputs!$B$15,A14),0),0)</f>
        <v>0.81716167463673683</v>
      </c>
      <c r="E14" s="29">
        <f t="shared" si="0"/>
        <v>17.875411632678617</v>
      </c>
      <c r="F14" s="30">
        <f t="shared" si="1"/>
        <v>1.8110302252899155E-2</v>
      </c>
      <c r="G14" s="28">
        <f t="shared" si="2"/>
        <v>8.1496360138046203E-2</v>
      </c>
    </row>
    <row r="15" spans="1:8">
      <c r="A15" s="27">
        <v>10</v>
      </c>
      <c r="B15" s="28">
        <f>IF(A15&lt;=Analysis!$B$12,A15/Inputs!$B$15,0)</f>
        <v>5</v>
      </c>
      <c r="C15" s="29">
        <f>IF(A15&lt;=Analysis!$B$12,Analysis!$B$11+IF(A15=Analysis!$B$12,Analysis!$B$4,0),0)</f>
        <v>21.875</v>
      </c>
      <c r="D15" s="29">
        <f>IFERROR(IF(A15&lt;=Analysis!$B$12,1/POWER(1+Analysis!$B$18/Inputs!$B$15,A15),0),0)</f>
        <v>0.79903247944827294</v>
      </c>
      <c r="E15" s="29">
        <f t="shared" si="0"/>
        <v>17.478835487930972</v>
      </c>
      <c r="F15" s="30">
        <f t="shared" si="1"/>
        <v>1.770851492652847E-2</v>
      </c>
      <c r="G15" s="28">
        <f t="shared" si="2"/>
        <v>8.8542574632642354E-2</v>
      </c>
    </row>
    <row r="16" spans="1:8">
      <c r="A16" s="27">
        <v>11</v>
      </c>
      <c r="B16" s="28">
        <f>IF(A16&lt;=Analysis!$B$12,A16/Inputs!$B$15,0)</f>
        <v>5.5</v>
      </c>
      <c r="C16" s="29">
        <f>IF(A16&lt;=Analysis!$B$12,Analysis!$B$11+IF(A16=Analysis!$B$12,Analysis!$B$4,0),0)</f>
        <v>21.875</v>
      </c>
      <c r="D16" s="29">
        <f>IFERROR(IF(A16&lt;=Analysis!$B$12,1/POWER(1+Analysis!$B$18/Inputs!$B$15,A16),0),0)</f>
        <v>0.78130549073666988</v>
      </c>
      <c r="E16" s="29">
        <f t="shared" si="0"/>
        <v>17.091057609864652</v>
      </c>
      <c r="F16" s="30">
        <f t="shared" si="1"/>
        <v>1.7315641479858836E-2</v>
      </c>
      <c r="G16" s="28">
        <f t="shared" si="2"/>
        <v>9.5236028139223605E-2</v>
      </c>
    </row>
    <row r="17" spans="1:7">
      <c r="A17" s="27">
        <v>12</v>
      </c>
      <c r="B17" s="28">
        <f>IF(A17&lt;=Analysis!$B$12,A17/Inputs!$B$15,0)</f>
        <v>6</v>
      </c>
      <c r="C17" s="29">
        <f>IF(A17&lt;=Analysis!$B$12,Analysis!$B$11+IF(A17=Analysis!$B$12,Analysis!$B$4,0),0)</f>
        <v>21.875</v>
      </c>
      <c r="D17" s="29">
        <f>IFERROR(IF(A17&lt;=Analysis!$B$12,1/POWER(1+Analysis!$B$18/Inputs!$B$15,A17),0),0)</f>
        <v>0.76397178532313526</v>
      </c>
      <c r="E17" s="29">
        <f t="shared" si="0"/>
        <v>16.711882803943585</v>
      </c>
      <c r="F17" s="30">
        <f t="shared" si="1"/>
        <v>1.6931484153413768E-2</v>
      </c>
      <c r="G17" s="28">
        <f t="shared" si="2"/>
        <v>0.10158890492048261</v>
      </c>
    </row>
    <row r="18" spans="1:7">
      <c r="A18" s="27">
        <v>13</v>
      </c>
      <c r="B18" s="28">
        <f>IF(A18&lt;=Analysis!$B$12,A18/Inputs!$B$15,0)</f>
        <v>6.5</v>
      </c>
      <c r="C18" s="29">
        <f>IF(A18&lt;=Analysis!$B$12,Analysis!$B$11+IF(A18=Analysis!$B$12,Analysis!$B$4,0),0)</f>
        <v>21.875</v>
      </c>
      <c r="D18" s="29">
        <f>IFERROR(IF(A18&lt;=Analysis!$B$12,1/POWER(1+Analysis!$B$18/Inputs!$B$15,A18),0),0)</f>
        <v>0.74702263799465907</v>
      </c>
      <c r="E18" s="29">
        <f t="shared" si="0"/>
        <v>16.341120206133166</v>
      </c>
      <c r="F18" s="30">
        <f t="shared" si="1"/>
        <v>1.6555849575122909E-2</v>
      </c>
      <c r="G18" s="28">
        <f t="shared" si="2"/>
        <v>0.10761302223829891</v>
      </c>
    </row>
    <row r="19" spans="1:7">
      <c r="A19" s="27">
        <v>14</v>
      </c>
      <c r="B19" s="28">
        <f>IF(A19&lt;=Analysis!$B$12,A19/Inputs!$B$15,0)</f>
        <v>7</v>
      </c>
      <c r="C19" s="29">
        <f>IF(A19&lt;=Analysis!$B$12,Analysis!$B$11+IF(A19=Analysis!$B$12,Analysis!$B$4,0),0)</f>
        <v>21.875</v>
      </c>
      <c r="D19" s="29">
        <f>IFERROR(IF(A19&lt;=Analysis!$B$12,1/POWER(1+Analysis!$B$18/Inputs!$B$15,A19),0),0)</f>
        <v>0.73044951711202977</v>
      </c>
      <c r="E19" s="29">
        <f t="shared" si="0"/>
        <v>15.97858318682565</v>
      </c>
      <c r="F19" s="30">
        <f t="shared" si="1"/>
        <v>1.6188548662984956E-2</v>
      </c>
      <c r="G19" s="28">
        <f t="shared" si="2"/>
        <v>0.11331984064089469</v>
      </c>
    </row>
    <row r="20" spans="1:7">
      <c r="A20" s="27">
        <v>15</v>
      </c>
      <c r="B20" s="28">
        <f>IF(A20&lt;=Analysis!$B$12,A20/Inputs!$B$15,0)</f>
        <v>7.5</v>
      </c>
      <c r="C20" s="29">
        <f>IF(A20&lt;=Analysis!$B$12,Analysis!$B$11+IF(A20=Analysis!$B$12,Analysis!$B$4,0),0)</f>
        <v>21.875</v>
      </c>
      <c r="D20" s="29">
        <f>IFERROR(IF(A20&lt;=Analysis!$B$12,1/POWER(1+Analysis!$B$18/Inputs!$B$15,A20),0),0)</f>
        <v>0.71424408031529063</v>
      </c>
      <c r="E20" s="29">
        <f t="shared" si="0"/>
        <v>15.624089256896983</v>
      </c>
      <c r="F20" s="30">
        <f t="shared" si="1"/>
        <v>1.5829396529890037E-2</v>
      </c>
      <c r="G20" s="28">
        <f t="shared" si="2"/>
        <v>0.11872047397417528</v>
      </c>
    </row>
    <row r="21" spans="1:7">
      <c r="A21" s="27">
        <v>16</v>
      </c>
      <c r="B21" s="28">
        <f>IF(A21&lt;=Analysis!$B$12,A21/Inputs!$B$15,0)</f>
        <v>8</v>
      </c>
      <c r="C21" s="29">
        <f>IF(A21&lt;=Analysis!$B$12,Analysis!$B$11+IF(A21=Analysis!$B$12,Analysis!$B$4,0),0)</f>
        <v>21.875</v>
      </c>
      <c r="D21" s="29">
        <f>IFERROR(IF(A21&lt;=Analysis!$B$12,1/POWER(1+Analysis!$B$18/Inputs!$B$15,A21),0),0)</f>
        <v>0.69839817032447116</v>
      </c>
      <c r="E21" s="29">
        <f t="shared" si="0"/>
        <v>15.277459975847806</v>
      </c>
      <c r="F21" s="30">
        <f t="shared" si="1"/>
        <v>1.5478212390553659E-2</v>
      </c>
      <c r="G21" s="28">
        <f t="shared" si="2"/>
        <v>0.12382569912442927</v>
      </c>
    </row>
    <row r="22" spans="1:7">
      <c r="A22" s="27">
        <v>17</v>
      </c>
      <c r="B22" s="28">
        <f>IF(A22&lt;=Analysis!$B$12,A22/Inputs!$B$15,0)</f>
        <v>8.5</v>
      </c>
      <c r="C22" s="29">
        <f>IF(A22&lt;=Analysis!$B$12,Analysis!$B$11+IF(A22=Analysis!$B$12,Analysis!$B$4,0),0)</f>
        <v>21.875</v>
      </c>
      <c r="D22" s="29">
        <f>IFERROR(IF(A22&lt;=Analysis!$B$12,1/POWER(1+Analysis!$B$18/Inputs!$B$15,A22),0),0)</f>
        <v>0.68290381083348428</v>
      </c>
      <c r="E22" s="29">
        <f t="shared" si="0"/>
        <v>14.938520861982468</v>
      </c>
      <c r="F22" s="30">
        <f t="shared" si="1"/>
        <v>1.5134819470515417E-2</v>
      </c>
      <c r="G22" s="28">
        <f t="shared" si="2"/>
        <v>0.12864596549938104</v>
      </c>
    </row>
    <row r="23" spans="1:7">
      <c r="A23" s="27">
        <v>18</v>
      </c>
      <c r="B23" s="28">
        <f>IF(A23&lt;=Analysis!$B$12,A23/Inputs!$B$15,0)</f>
        <v>9</v>
      </c>
      <c r="C23" s="29">
        <f>IF(A23&lt;=Analysis!$B$12,Analysis!$B$11+IF(A23=Analysis!$B$12,Analysis!$B$4,0),0)</f>
        <v>21.875</v>
      </c>
      <c r="D23" s="29">
        <f>IFERROR(IF(A23&lt;=Analysis!$B$12,1/POWER(1+Analysis!$B$18/Inputs!$B$15,A23),0),0)</f>
        <v>0.66775320249511627</v>
      </c>
      <c r="E23" s="29">
        <f t="shared" si="0"/>
        <v>14.607101304580668</v>
      </c>
      <c r="F23" s="30">
        <f t="shared" si="1"/>
        <v>1.4799044917156544E-2</v>
      </c>
      <c r="G23" s="28">
        <f t="shared" si="2"/>
        <v>0.1331914042544089</v>
      </c>
    </row>
    <row r="24" spans="1:7">
      <c r="A24" s="27">
        <v>19</v>
      </c>
      <c r="B24" s="28">
        <f>IF(A24&lt;=Analysis!$B$12,A24/Inputs!$B$15,0)</f>
        <v>9.5</v>
      </c>
      <c r="C24" s="29">
        <f>IF(A24&lt;=Analysis!$B$12,Analysis!$B$11+IF(A24=Analysis!$B$12,Analysis!$B$4,0),0)</f>
        <v>21.875</v>
      </c>
      <c r="D24" s="29">
        <f>IFERROR(IF(A24&lt;=Analysis!$B$12,1/POWER(1+Analysis!$B$18/Inputs!$B$15,A24),0),0)</f>
        <v>0.65293871899509481</v>
      </c>
      <c r="E24" s="29">
        <f t="shared" si="0"/>
        <v>14.283034478017699</v>
      </c>
      <c r="F24" s="30">
        <f t="shared" si="1"/>
        <v>1.4470719712691657E-2</v>
      </c>
      <c r="G24" s="28">
        <f t="shared" si="2"/>
        <v>0.13747183727057075</v>
      </c>
    </row>
    <row r="25" spans="1:7">
      <c r="A25" s="27">
        <v>20</v>
      </c>
      <c r="B25" s="28">
        <f>IF(A25&lt;=Analysis!$B$12,A25/Inputs!$B$15,0)</f>
        <v>10</v>
      </c>
      <c r="C25" s="29">
        <f>IF(A25&lt;=Analysis!$B$12,Analysis!$B$11+IF(A25=Analysis!$B$12,Analysis!$B$4,0),0)</f>
        <v>1021.875</v>
      </c>
      <c r="D25" s="29">
        <f>IFERROR(IF(A25&lt;=Analysis!$B$12,1/POWER(1+Analysis!$B$18/Inputs!$B$15,A25),0),0)</f>
        <v>0.63845290321325465</v>
      </c>
      <c r="E25" s="29">
        <f t="shared" si="0"/>
        <v>652.41906047104465</v>
      </c>
      <c r="F25" s="30">
        <f t="shared" si="1"/>
        <v>0.66099212837609855</v>
      </c>
      <c r="G25" s="28">
        <f t="shared" si="2"/>
        <v>6.6099212837609853</v>
      </c>
    </row>
    <row r="26" spans="1:7">
      <c r="A26" s="27">
        <v>21</v>
      </c>
      <c r="B26" s="28">
        <f>IF(A26&lt;=Analysis!$B$12,A26/Inputs!$B$15,0)</f>
        <v>0</v>
      </c>
      <c r="C26" s="29">
        <f>IF(A26&lt;=Analysis!$B$12,Analysis!$B$11+IF(A26=Analysis!$B$12,Analysis!$B$4,0),0)</f>
        <v>0</v>
      </c>
      <c r="D26" s="29">
        <f>IFERROR(IF(A26&lt;=Analysis!$B$12,1/POWER(1+Analysis!$B$18/Inputs!$B$15,A26),0),0)</f>
        <v>0</v>
      </c>
      <c r="E26" s="29">
        <f t="shared" si="0"/>
        <v>0</v>
      </c>
      <c r="F26" s="30">
        <f t="shared" si="1"/>
        <v>0</v>
      </c>
      <c r="G26" s="28">
        <f t="shared" si="2"/>
        <v>0</v>
      </c>
    </row>
    <row r="27" spans="1:7">
      <c r="A27" s="27">
        <v>22</v>
      </c>
      <c r="B27" s="28">
        <f>IF(A27&lt;=Analysis!$B$12,A27/Inputs!$B$15,0)</f>
        <v>0</v>
      </c>
      <c r="C27" s="29">
        <f>IF(A27&lt;=Analysis!$B$12,Analysis!$B$11+IF(A27=Analysis!$B$12,Analysis!$B$4,0),0)</f>
        <v>0</v>
      </c>
      <c r="D27" s="29">
        <f>IFERROR(IF(A27&lt;=Analysis!$B$12,1/POWER(1+Analysis!$B$18/Inputs!$B$15,A27),0),0)</f>
        <v>0</v>
      </c>
      <c r="E27" s="29">
        <f t="shared" si="0"/>
        <v>0</v>
      </c>
      <c r="F27" s="30">
        <f t="shared" si="1"/>
        <v>0</v>
      </c>
      <c r="G27" s="28">
        <f t="shared" si="2"/>
        <v>0</v>
      </c>
    </row>
    <row r="28" spans="1:7">
      <c r="A28" s="27">
        <v>23</v>
      </c>
      <c r="B28" s="28">
        <f>IF(A28&lt;=Analysis!$B$12,A28/Inputs!$B$15,0)</f>
        <v>0</v>
      </c>
      <c r="C28" s="29">
        <f>IF(A28&lt;=Analysis!$B$12,Analysis!$B$11+IF(A28=Analysis!$B$12,Analysis!$B$4,0),0)</f>
        <v>0</v>
      </c>
      <c r="D28" s="29">
        <f>IFERROR(IF(A28&lt;=Analysis!$B$12,1/POWER(1+Analysis!$B$18/Inputs!$B$15,A28),0),0)</f>
        <v>0</v>
      </c>
      <c r="E28" s="29">
        <f t="shared" si="0"/>
        <v>0</v>
      </c>
      <c r="F28" s="30">
        <f t="shared" si="1"/>
        <v>0</v>
      </c>
      <c r="G28" s="28">
        <f t="shared" si="2"/>
        <v>0</v>
      </c>
    </row>
    <row r="29" spans="1:7">
      <c r="A29" s="27">
        <v>24</v>
      </c>
      <c r="B29" s="28">
        <f>IF(A29&lt;=Analysis!$B$12,A29/Inputs!$B$15,0)</f>
        <v>0</v>
      </c>
      <c r="C29" s="29">
        <f>IF(A29&lt;=Analysis!$B$12,Analysis!$B$11+IF(A29=Analysis!$B$12,Analysis!$B$4,0),0)</f>
        <v>0</v>
      </c>
      <c r="D29" s="29">
        <f>IFERROR(IF(A29&lt;=Analysis!$B$12,1/POWER(1+Analysis!$B$18/Inputs!$B$15,A29),0),0)</f>
        <v>0</v>
      </c>
      <c r="E29" s="29">
        <f t="shared" si="0"/>
        <v>0</v>
      </c>
      <c r="F29" s="30">
        <f t="shared" si="1"/>
        <v>0</v>
      </c>
      <c r="G29" s="28">
        <f t="shared" si="2"/>
        <v>0</v>
      </c>
    </row>
    <row r="30" spans="1:7">
      <c r="A30" s="27">
        <v>25</v>
      </c>
      <c r="B30" s="28">
        <f>IF(A30&lt;=Analysis!$B$12,A30/Inputs!$B$15,0)</f>
        <v>0</v>
      </c>
      <c r="C30" s="29">
        <f>IF(A30&lt;=Analysis!$B$12,Analysis!$B$11+IF(A30=Analysis!$B$12,Analysis!$B$4,0),0)</f>
        <v>0</v>
      </c>
      <c r="D30" s="29">
        <f>IFERROR(IF(A30&lt;=Analysis!$B$12,1/POWER(1+Analysis!$B$18/Inputs!$B$15,A30),0),0)</f>
        <v>0</v>
      </c>
      <c r="E30" s="29">
        <f t="shared" si="0"/>
        <v>0</v>
      </c>
      <c r="F30" s="30">
        <f t="shared" si="1"/>
        <v>0</v>
      </c>
      <c r="G30" s="28">
        <f t="shared" si="2"/>
        <v>0</v>
      </c>
    </row>
    <row r="31" spans="1:7">
      <c r="A31" s="27">
        <v>26</v>
      </c>
      <c r="B31" s="28">
        <f>IF(A31&lt;=Analysis!$B$12,A31/Inputs!$B$15,0)</f>
        <v>0</v>
      </c>
      <c r="C31" s="29">
        <f>IF(A31&lt;=Analysis!$B$12,Analysis!$B$11+IF(A31=Analysis!$B$12,Analysis!$B$4,0),0)</f>
        <v>0</v>
      </c>
      <c r="D31" s="29">
        <f>IFERROR(IF(A31&lt;=Analysis!$B$12,1/POWER(1+Analysis!$B$18/Inputs!$B$15,A31),0),0)</f>
        <v>0</v>
      </c>
      <c r="E31" s="29">
        <f t="shared" si="0"/>
        <v>0</v>
      </c>
      <c r="F31" s="30">
        <f t="shared" si="1"/>
        <v>0</v>
      </c>
      <c r="G31" s="28">
        <f t="shared" si="2"/>
        <v>0</v>
      </c>
    </row>
    <row r="32" spans="1:7">
      <c r="A32" s="27">
        <v>27</v>
      </c>
      <c r="B32" s="28">
        <f>IF(A32&lt;=Analysis!$B$12,A32/Inputs!$B$15,0)</f>
        <v>0</v>
      </c>
      <c r="C32" s="29">
        <f>IF(A32&lt;=Analysis!$B$12,Analysis!$B$11+IF(A32=Analysis!$B$12,Analysis!$B$4,0),0)</f>
        <v>0</v>
      </c>
      <c r="D32" s="29">
        <f>IFERROR(IF(A32&lt;=Analysis!$B$12,1/POWER(1+Analysis!$B$18/Inputs!$B$15,A32),0),0)</f>
        <v>0</v>
      </c>
      <c r="E32" s="29">
        <f t="shared" si="0"/>
        <v>0</v>
      </c>
      <c r="F32" s="30">
        <f t="shared" si="1"/>
        <v>0</v>
      </c>
      <c r="G32" s="28">
        <f t="shared" si="2"/>
        <v>0</v>
      </c>
    </row>
    <row r="33" spans="1:7">
      <c r="A33" s="27">
        <v>28</v>
      </c>
      <c r="B33" s="28">
        <f>IF(A33&lt;=Analysis!$B$12,A33/Inputs!$B$15,0)</f>
        <v>0</v>
      </c>
      <c r="C33" s="29">
        <f>IF(A33&lt;=Analysis!$B$12,Analysis!$B$11+IF(A33=Analysis!$B$12,Analysis!$B$4,0),0)</f>
        <v>0</v>
      </c>
      <c r="D33" s="29">
        <f>IFERROR(IF(A33&lt;=Analysis!$B$12,1/POWER(1+Analysis!$B$18/Inputs!$B$15,A33),0),0)</f>
        <v>0</v>
      </c>
      <c r="E33" s="29">
        <f t="shared" si="0"/>
        <v>0</v>
      </c>
      <c r="F33" s="30">
        <f t="shared" si="1"/>
        <v>0</v>
      </c>
      <c r="G33" s="28">
        <f t="shared" si="2"/>
        <v>0</v>
      </c>
    </row>
    <row r="34" spans="1:7">
      <c r="A34" s="27">
        <v>29</v>
      </c>
      <c r="B34" s="28">
        <f>IF(A34&lt;=Analysis!$B$12,A34/Inputs!$B$15,0)</f>
        <v>0</v>
      </c>
      <c r="C34" s="29">
        <f>IF(A34&lt;=Analysis!$B$12,Analysis!$B$11+IF(A34=Analysis!$B$12,Analysis!$B$4,0),0)</f>
        <v>0</v>
      </c>
      <c r="D34" s="29">
        <f>IFERROR(IF(A34&lt;=Analysis!$B$12,1/POWER(1+Analysis!$B$18/Inputs!$B$15,A34),0),0)</f>
        <v>0</v>
      </c>
      <c r="E34" s="29">
        <f t="shared" si="0"/>
        <v>0</v>
      </c>
      <c r="F34" s="30">
        <f t="shared" si="1"/>
        <v>0</v>
      </c>
      <c r="G34" s="28">
        <f t="shared" si="2"/>
        <v>0</v>
      </c>
    </row>
    <row r="35" spans="1:7">
      <c r="A35" s="27">
        <v>30</v>
      </c>
      <c r="B35" s="28">
        <f>IF(A35&lt;=Analysis!$B$12,A35/Inputs!$B$15,0)</f>
        <v>0</v>
      </c>
      <c r="C35" s="29">
        <f>IF(A35&lt;=Analysis!$B$12,Analysis!$B$11+IF(A35=Analysis!$B$12,Analysis!$B$4,0),0)</f>
        <v>0</v>
      </c>
      <c r="D35" s="29">
        <f>IFERROR(IF(A35&lt;=Analysis!$B$12,1/POWER(1+Analysis!$B$18/Inputs!$B$15,A35),0),0)</f>
        <v>0</v>
      </c>
      <c r="E35" s="29">
        <f t="shared" si="0"/>
        <v>0</v>
      </c>
      <c r="F35" s="30">
        <f t="shared" si="1"/>
        <v>0</v>
      </c>
      <c r="G35" s="28">
        <f t="shared" si="2"/>
        <v>0</v>
      </c>
    </row>
    <row r="36" spans="1:7">
      <c r="A36" s="27">
        <v>31</v>
      </c>
      <c r="B36" s="28">
        <f>IF(A36&lt;=Analysis!$B$12,A36/Inputs!$B$15,0)</f>
        <v>0</v>
      </c>
      <c r="C36" s="29">
        <f>IF(A36&lt;=Analysis!$B$12,Analysis!$B$11+IF(A36=Analysis!$B$12,Analysis!$B$4,0),0)</f>
        <v>0</v>
      </c>
      <c r="D36" s="29">
        <f>IFERROR(IF(A36&lt;=Analysis!$B$12,1/POWER(1+Analysis!$B$18/Inputs!$B$15,A36),0),0)</f>
        <v>0</v>
      </c>
      <c r="E36" s="29">
        <f t="shared" si="0"/>
        <v>0</v>
      </c>
      <c r="F36" s="30">
        <f t="shared" si="1"/>
        <v>0</v>
      </c>
      <c r="G36" s="28">
        <f t="shared" si="2"/>
        <v>0</v>
      </c>
    </row>
    <row r="37" spans="1:7">
      <c r="A37" s="27">
        <v>32</v>
      </c>
      <c r="B37" s="28">
        <f>IF(A37&lt;=Analysis!$B$12,A37/Inputs!$B$15,0)</f>
        <v>0</v>
      </c>
      <c r="C37" s="29">
        <f>IF(A37&lt;=Analysis!$B$12,Analysis!$B$11+IF(A37=Analysis!$B$12,Analysis!$B$4,0),0)</f>
        <v>0</v>
      </c>
      <c r="D37" s="29">
        <f>IFERROR(IF(A37&lt;=Analysis!$B$12,1/POWER(1+Analysis!$B$18/Inputs!$B$15,A37),0),0)</f>
        <v>0</v>
      </c>
      <c r="E37" s="29">
        <f t="shared" si="0"/>
        <v>0</v>
      </c>
      <c r="F37" s="30">
        <f t="shared" si="1"/>
        <v>0</v>
      </c>
      <c r="G37" s="28">
        <f t="shared" si="2"/>
        <v>0</v>
      </c>
    </row>
    <row r="38" spans="1:7">
      <c r="A38" s="27">
        <v>33</v>
      </c>
      <c r="B38" s="28">
        <f>IF(A38&lt;=Analysis!$B$12,A38/Inputs!$B$15,0)</f>
        <v>0</v>
      </c>
      <c r="C38" s="29">
        <f>IF(A38&lt;=Analysis!$B$12,Analysis!$B$11+IF(A38=Analysis!$B$12,Analysis!$B$4,0),0)</f>
        <v>0</v>
      </c>
      <c r="D38" s="29">
        <f>IFERROR(IF(A38&lt;=Analysis!$B$12,1/POWER(1+Analysis!$B$18/Inputs!$B$15,A38),0),0)</f>
        <v>0</v>
      </c>
      <c r="E38" s="29">
        <f t="shared" si="0"/>
        <v>0</v>
      </c>
      <c r="F38" s="30">
        <f t="shared" si="1"/>
        <v>0</v>
      </c>
      <c r="G38" s="28">
        <f t="shared" si="2"/>
        <v>0</v>
      </c>
    </row>
    <row r="39" spans="1:7">
      <c r="A39" s="27">
        <v>34</v>
      </c>
      <c r="B39" s="28">
        <f>IF(A39&lt;=Analysis!$B$12,A39/Inputs!$B$15,0)</f>
        <v>0</v>
      </c>
      <c r="C39" s="29">
        <f>IF(A39&lt;=Analysis!$B$12,Analysis!$B$11+IF(A39=Analysis!$B$12,Analysis!$B$4,0),0)</f>
        <v>0</v>
      </c>
      <c r="D39" s="29">
        <f>IFERROR(IF(A39&lt;=Analysis!$B$12,1/POWER(1+Analysis!$B$18/Inputs!$B$15,A39),0),0)</f>
        <v>0</v>
      </c>
      <c r="E39" s="29">
        <f t="shared" si="0"/>
        <v>0</v>
      </c>
      <c r="F39" s="30">
        <f t="shared" si="1"/>
        <v>0</v>
      </c>
      <c r="G39" s="28">
        <f t="shared" si="2"/>
        <v>0</v>
      </c>
    </row>
    <row r="40" spans="1:7">
      <c r="A40" s="27">
        <v>35</v>
      </c>
      <c r="B40" s="28">
        <f>IF(A40&lt;=Analysis!$B$12,A40/Inputs!$B$15,0)</f>
        <v>0</v>
      </c>
      <c r="C40" s="29">
        <f>IF(A40&lt;=Analysis!$B$12,Analysis!$B$11+IF(A40=Analysis!$B$12,Analysis!$B$4,0),0)</f>
        <v>0</v>
      </c>
      <c r="D40" s="29">
        <f>IFERROR(IF(A40&lt;=Analysis!$B$12,1/POWER(1+Analysis!$B$18/Inputs!$B$15,A40),0),0)</f>
        <v>0</v>
      </c>
      <c r="E40" s="29">
        <f t="shared" si="0"/>
        <v>0</v>
      </c>
      <c r="F40" s="30">
        <f t="shared" si="1"/>
        <v>0</v>
      </c>
      <c r="G40" s="28">
        <f t="shared" si="2"/>
        <v>0</v>
      </c>
    </row>
    <row r="41" spans="1:7">
      <c r="A41" s="27">
        <v>36</v>
      </c>
      <c r="B41" s="28">
        <f>IF(A41&lt;=Analysis!$B$12,A41/Inputs!$B$15,0)</f>
        <v>0</v>
      </c>
      <c r="C41" s="29">
        <f>IF(A41&lt;=Analysis!$B$12,Analysis!$B$11+IF(A41=Analysis!$B$12,Analysis!$B$4,0),0)</f>
        <v>0</v>
      </c>
      <c r="D41" s="29">
        <f>IFERROR(IF(A41&lt;=Analysis!$B$12,1/POWER(1+Analysis!$B$18/Inputs!$B$15,A41),0),0)</f>
        <v>0</v>
      </c>
      <c r="E41" s="29">
        <f t="shared" si="0"/>
        <v>0</v>
      </c>
      <c r="F41" s="30">
        <f t="shared" si="1"/>
        <v>0</v>
      </c>
      <c r="G41" s="28">
        <f t="shared" si="2"/>
        <v>0</v>
      </c>
    </row>
    <row r="42" spans="1:7">
      <c r="A42" s="27">
        <v>37</v>
      </c>
      <c r="B42" s="28">
        <f>IF(A42&lt;=Analysis!$B$12,A42/Inputs!$B$15,0)</f>
        <v>0</v>
      </c>
      <c r="C42" s="29">
        <f>IF(A42&lt;=Analysis!$B$12,Analysis!$B$11+IF(A42=Analysis!$B$12,Analysis!$B$4,0),0)</f>
        <v>0</v>
      </c>
      <c r="D42" s="29">
        <f>IFERROR(IF(A42&lt;=Analysis!$B$12,1/POWER(1+Analysis!$B$18/Inputs!$B$15,A42),0),0)</f>
        <v>0</v>
      </c>
      <c r="E42" s="29">
        <f t="shared" si="0"/>
        <v>0</v>
      </c>
      <c r="F42" s="30">
        <f t="shared" si="1"/>
        <v>0</v>
      </c>
      <c r="G42" s="28">
        <f t="shared" si="2"/>
        <v>0</v>
      </c>
    </row>
    <row r="43" spans="1:7">
      <c r="A43" s="27">
        <v>38</v>
      </c>
      <c r="B43" s="28">
        <f>IF(A43&lt;=Analysis!$B$12,A43/Inputs!$B$15,0)</f>
        <v>0</v>
      </c>
      <c r="C43" s="29">
        <f>IF(A43&lt;=Analysis!$B$12,Analysis!$B$11+IF(A43=Analysis!$B$12,Analysis!$B$4,0),0)</f>
        <v>0</v>
      </c>
      <c r="D43" s="29">
        <f>IFERROR(IF(A43&lt;=Analysis!$B$12,1/POWER(1+Analysis!$B$18/Inputs!$B$15,A43),0),0)</f>
        <v>0</v>
      </c>
      <c r="E43" s="29">
        <f t="shared" si="0"/>
        <v>0</v>
      </c>
      <c r="F43" s="30">
        <f t="shared" si="1"/>
        <v>0</v>
      </c>
      <c r="G43" s="28">
        <f t="shared" si="2"/>
        <v>0</v>
      </c>
    </row>
    <row r="44" spans="1:7">
      <c r="A44" s="27">
        <v>39</v>
      </c>
      <c r="B44" s="28">
        <f>IF(A44&lt;=Analysis!$B$12,A44/Inputs!$B$15,0)</f>
        <v>0</v>
      </c>
      <c r="C44" s="29">
        <f>IF(A44&lt;=Analysis!$B$12,Analysis!$B$11+IF(A44=Analysis!$B$12,Analysis!$B$4,0),0)</f>
        <v>0</v>
      </c>
      <c r="D44" s="29">
        <f>IFERROR(IF(A44&lt;=Analysis!$B$12,1/POWER(1+Analysis!$B$18/Inputs!$B$15,A44),0),0)</f>
        <v>0</v>
      </c>
      <c r="E44" s="29">
        <f t="shared" si="0"/>
        <v>0</v>
      </c>
      <c r="F44" s="30">
        <f t="shared" si="1"/>
        <v>0</v>
      </c>
      <c r="G44" s="28">
        <f t="shared" si="2"/>
        <v>0</v>
      </c>
    </row>
    <row r="45" spans="1:7">
      <c r="A45" s="27">
        <v>40</v>
      </c>
      <c r="B45" s="28">
        <f>IF(A45&lt;=Analysis!$B$12,A45/Inputs!$B$15,0)</f>
        <v>0</v>
      </c>
      <c r="C45" s="29">
        <f>IF(A45&lt;=Analysis!$B$12,Analysis!$B$11+IF(A45=Analysis!$B$12,Analysis!$B$4,0),0)</f>
        <v>0</v>
      </c>
      <c r="D45" s="29">
        <f>IFERROR(IF(A45&lt;=Analysis!$B$12,1/POWER(1+Analysis!$B$18/Inputs!$B$15,A45),0),0)</f>
        <v>0</v>
      </c>
      <c r="E45" s="29">
        <f t="shared" si="0"/>
        <v>0</v>
      </c>
      <c r="F45" s="30">
        <f t="shared" si="1"/>
        <v>0</v>
      </c>
      <c r="G45" s="28">
        <f t="shared" si="2"/>
        <v>0</v>
      </c>
    </row>
    <row r="46" spans="1:7">
      <c r="A46" s="27">
        <v>41</v>
      </c>
      <c r="B46" s="28">
        <f>IF(A46&lt;=Analysis!$B$12,A46/Inputs!$B$15,0)</f>
        <v>0</v>
      </c>
      <c r="C46" s="29">
        <f>IF(A46&lt;=Analysis!$B$12,Analysis!$B$11+IF(A46=Analysis!$B$12,Analysis!$B$4,0),0)</f>
        <v>0</v>
      </c>
      <c r="D46" s="29">
        <f>IFERROR(IF(A46&lt;=Analysis!$B$12,1/POWER(1+Analysis!$B$18/Inputs!$B$15,A46),0),0)</f>
        <v>0</v>
      </c>
      <c r="E46" s="29">
        <f t="shared" si="0"/>
        <v>0</v>
      </c>
      <c r="F46" s="30">
        <f t="shared" si="1"/>
        <v>0</v>
      </c>
      <c r="G46" s="28">
        <f t="shared" si="2"/>
        <v>0</v>
      </c>
    </row>
    <row r="47" spans="1:7">
      <c r="A47" s="27">
        <v>42</v>
      </c>
      <c r="B47" s="28">
        <f>IF(A47&lt;=Analysis!$B$12,A47/Inputs!$B$15,0)</f>
        <v>0</v>
      </c>
      <c r="C47" s="29">
        <f>IF(A47&lt;=Analysis!$B$12,Analysis!$B$11+IF(A47=Analysis!$B$12,Analysis!$B$4,0),0)</f>
        <v>0</v>
      </c>
      <c r="D47" s="29">
        <f>IFERROR(IF(A47&lt;=Analysis!$B$12,1/POWER(1+Analysis!$B$18/Inputs!$B$15,A47),0),0)</f>
        <v>0</v>
      </c>
      <c r="E47" s="29">
        <f t="shared" si="0"/>
        <v>0</v>
      </c>
      <c r="F47" s="30">
        <f t="shared" si="1"/>
        <v>0</v>
      </c>
      <c r="G47" s="28">
        <f t="shared" si="2"/>
        <v>0</v>
      </c>
    </row>
    <row r="48" spans="1:7">
      <c r="A48" s="27">
        <v>43</v>
      </c>
      <c r="B48" s="28">
        <f>IF(A48&lt;=Analysis!$B$12,A48/Inputs!$B$15,0)</f>
        <v>0</v>
      </c>
      <c r="C48" s="29">
        <f>IF(A48&lt;=Analysis!$B$12,Analysis!$B$11+IF(A48=Analysis!$B$12,Analysis!$B$4,0),0)</f>
        <v>0</v>
      </c>
      <c r="D48" s="29">
        <f>IFERROR(IF(A48&lt;=Analysis!$B$12,1/POWER(1+Analysis!$B$18/Inputs!$B$15,A48),0),0)</f>
        <v>0</v>
      </c>
      <c r="E48" s="29">
        <f t="shared" si="0"/>
        <v>0</v>
      </c>
      <c r="F48" s="30">
        <f t="shared" si="1"/>
        <v>0</v>
      </c>
      <c r="G48" s="28">
        <f t="shared" si="2"/>
        <v>0</v>
      </c>
    </row>
    <row r="49" spans="1:7">
      <c r="A49" s="27">
        <v>44</v>
      </c>
      <c r="B49" s="28">
        <f>IF(A49&lt;=Analysis!$B$12,A49/Inputs!$B$15,0)</f>
        <v>0</v>
      </c>
      <c r="C49" s="29">
        <f>IF(A49&lt;=Analysis!$B$12,Analysis!$B$11+IF(A49=Analysis!$B$12,Analysis!$B$4,0),0)</f>
        <v>0</v>
      </c>
      <c r="D49" s="29">
        <f>IFERROR(IF(A49&lt;=Analysis!$B$12,1/POWER(1+Analysis!$B$18/Inputs!$B$15,A49),0),0)</f>
        <v>0</v>
      </c>
      <c r="E49" s="29">
        <f t="shared" si="0"/>
        <v>0</v>
      </c>
      <c r="F49" s="30">
        <f t="shared" si="1"/>
        <v>0</v>
      </c>
      <c r="G49" s="28">
        <f t="shared" si="2"/>
        <v>0</v>
      </c>
    </row>
    <row r="50" spans="1:7">
      <c r="A50" s="27">
        <v>45</v>
      </c>
      <c r="B50" s="28">
        <f>IF(A50&lt;=Analysis!$B$12,A50/Inputs!$B$15,0)</f>
        <v>0</v>
      </c>
      <c r="C50" s="29">
        <f>IF(A50&lt;=Analysis!$B$12,Analysis!$B$11+IF(A50=Analysis!$B$12,Analysis!$B$4,0),0)</f>
        <v>0</v>
      </c>
      <c r="D50" s="29">
        <f>IFERROR(IF(A50&lt;=Analysis!$B$12,1/POWER(1+Analysis!$B$18/Inputs!$B$15,A50),0),0)</f>
        <v>0</v>
      </c>
      <c r="E50" s="29">
        <f t="shared" si="0"/>
        <v>0</v>
      </c>
      <c r="F50" s="30">
        <f t="shared" si="1"/>
        <v>0</v>
      </c>
      <c r="G50" s="28">
        <f t="shared" si="2"/>
        <v>0</v>
      </c>
    </row>
    <row r="51" spans="1:7">
      <c r="A51" s="27">
        <v>46</v>
      </c>
      <c r="B51" s="28">
        <f>IF(A51&lt;=Analysis!$B$12,A51/Inputs!$B$15,0)</f>
        <v>0</v>
      </c>
      <c r="C51" s="29">
        <f>IF(A51&lt;=Analysis!$B$12,Analysis!$B$11+IF(A51=Analysis!$B$12,Analysis!$B$4,0),0)</f>
        <v>0</v>
      </c>
      <c r="D51" s="29">
        <f>IFERROR(IF(A51&lt;=Analysis!$B$12,1/POWER(1+Analysis!$B$18/Inputs!$B$15,A51),0),0)</f>
        <v>0</v>
      </c>
      <c r="E51" s="29">
        <f t="shared" si="0"/>
        <v>0</v>
      </c>
      <c r="F51" s="30">
        <f t="shared" si="1"/>
        <v>0</v>
      </c>
      <c r="G51" s="28">
        <f t="shared" si="2"/>
        <v>0</v>
      </c>
    </row>
    <row r="52" spans="1:7">
      <c r="A52" s="27">
        <v>47</v>
      </c>
      <c r="B52" s="28">
        <f>IF(A52&lt;=Analysis!$B$12,A52/Inputs!$B$15,0)</f>
        <v>0</v>
      </c>
      <c r="C52" s="29">
        <f>IF(A52&lt;=Analysis!$B$12,Analysis!$B$11+IF(A52=Analysis!$B$12,Analysis!$B$4,0),0)</f>
        <v>0</v>
      </c>
      <c r="D52" s="29">
        <f>IFERROR(IF(A52&lt;=Analysis!$B$12,1/POWER(1+Analysis!$B$18/Inputs!$B$15,A52),0),0)</f>
        <v>0</v>
      </c>
      <c r="E52" s="29">
        <f t="shared" si="0"/>
        <v>0</v>
      </c>
      <c r="F52" s="30">
        <f t="shared" si="1"/>
        <v>0</v>
      </c>
      <c r="G52" s="28">
        <f t="shared" si="2"/>
        <v>0</v>
      </c>
    </row>
    <row r="53" spans="1:7">
      <c r="A53" s="27">
        <v>48</v>
      </c>
      <c r="B53" s="28">
        <f>IF(A53&lt;=Analysis!$B$12,A53/Inputs!$B$15,0)</f>
        <v>0</v>
      </c>
      <c r="C53" s="29">
        <f>IF(A53&lt;=Analysis!$B$12,Analysis!$B$11+IF(A53=Analysis!$B$12,Analysis!$B$4,0),0)</f>
        <v>0</v>
      </c>
      <c r="D53" s="29">
        <f>IFERROR(IF(A53&lt;=Analysis!$B$12,1/POWER(1+Analysis!$B$18/Inputs!$B$15,A53),0),0)</f>
        <v>0</v>
      </c>
      <c r="E53" s="29">
        <f t="shared" si="0"/>
        <v>0</v>
      </c>
      <c r="F53" s="30">
        <f t="shared" si="1"/>
        <v>0</v>
      </c>
      <c r="G53" s="28">
        <f t="shared" si="2"/>
        <v>0</v>
      </c>
    </row>
    <row r="54" spans="1:7">
      <c r="A54" s="27">
        <v>49</v>
      </c>
      <c r="B54" s="28">
        <f>IF(A54&lt;=Analysis!$B$12,A54/Inputs!$B$15,0)</f>
        <v>0</v>
      </c>
      <c r="C54" s="29">
        <f>IF(A54&lt;=Analysis!$B$12,Analysis!$B$11+IF(A54=Analysis!$B$12,Analysis!$B$4,0),0)</f>
        <v>0</v>
      </c>
      <c r="D54" s="29">
        <f>IFERROR(IF(A54&lt;=Analysis!$B$12,1/POWER(1+Analysis!$B$18/Inputs!$B$15,A54),0),0)</f>
        <v>0</v>
      </c>
      <c r="E54" s="29">
        <f t="shared" si="0"/>
        <v>0</v>
      </c>
      <c r="F54" s="30">
        <f t="shared" si="1"/>
        <v>0</v>
      </c>
      <c r="G54" s="28">
        <f t="shared" si="2"/>
        <v>0</v>
      </c>
    </row>
    <row r="55" spans="1:7">
      <c r="A55" s="27">
        <v>50</v>
      </c>
      <c r="B55" s="28">
        <f>IF(A55&lt;=Analysis!$B$12,A55/Inputs!$B$15,0)</f>
        <v>0</v>
      </c>
      <c r="C55" s="29">
        <f>IF(A55&lt;=Analysis!$B$12,Analysis!$B$11+IF(A55=Analysis!$B$12,Analysis!$B$4,0),0)</f>
        <v>0</v>
      </c>
      <c r="D55" s="29">
        <f>IFERROR(IF(A55&lt;=Analysis!$B$12,1/POWER(1+Analysis!$B$18/Inputs!$B$15,A55),0),0)</f>
        <v>0</v>
      </c>
      <c r="E55" s="29">
        <f t="shared" si="0"/>
        <v>0</v>
      </c>
      <c r="F55" s="30">
        <f t="shared" si="1"/>
        <v>0</v>
      </c>
      <c r="G55" s="28">
        <f t="shared" si="2"/>
        <v>0</v>
      </c>
    </row>
    <row r="56" spans="1:7">
      <c r="A56" s="27">
        <v>51</v>
      </c>
      <c r="B56" s="28">
        <f>IF(A56&lt;=Analysis!$B$12,A56/Inputs!$B$15,0)</f>
        <v>0</v>
      </c>
      <c r="C56" s="29">
        <f>IF(A56&lt;=Analysis!$B$12,Analysis!$B$11+IF(A56=Analysis!$B$12,Analysis!$B$4,0),0)</f>
        <v>0</v>
      </c>
      <c r="D56" s="29">
        <f>IFERROR(IF(A56&lt;=Analysis!$B$12,1/POWER(1+Analysis!$B$18/Inputs!$B$15,A56),0),0)</f>
        <v>0</v>
      </c>
      <c r="E56" s="29">
        <f t="shared" si="0"/>
        <v>0</v>
      </c>
      <c r="F56" s="30">
        <f t="shared" si="1"/>
        <v>0</v>
      </c>
      <c r="G56" s="28">
        <f t="shared" si="2"/>
        <v>0</v>
      </c>
    </row>
    <row r="57" spans="1:7">
      <c r="A57" s="27">
        <v>52</v>
      </c>
      <c r="B57" s="28">
        <f>IF(A57&lt;=Analysis!$B$12,A57/Inputs!$B$15,0)</f>
        <v>0</v>
      </c>
      <c r="C57" s="29">
        <f>IF(A57&lt;=Analysis!$B$12,Analysis!$B$11+IF(A57=Analysis!$B$12,Analysis!$B$4,0),0)</f>
        <v>0</v>
      </c>
      <c r="D57" s="29">
        <f>IFERROR(IF(A57&lt;=Analysis!$B$12,1/POWER(1+Analysis!$B$18/Inputs!$B$15,A57),0),0)</f>
        <v>0</v>
      </c>
      <c r="E57" s="29">
        <f t="shared" si="0"/>
        <v>0</v>
      </c>
      <c r="F57" s="30">
        <f t="shared" si="1"/>
        <v>0</v>
      </c>
      <c r="G57" s="28">
        <f t="shared" si="2"/>
        <v>0</v>
      </c>
    </row>
    <row r="58" spans="1:7">
      <c r="A58" s="27">
        <v>53</v>
      </c>
      <c r="B58" s="28">
        <f>IF(A58&lt;=Analysis!$B$12,A58/Inputs!$B$15,0)</f>
        <v>0</v>
      </c>
      <c r="C58" s="29">
        <f>IF(A58&lt;=Analysis!$B$12,Analysis!$B$11+IF(A58=Analysis!$B$12,Analysis!$B$4,0),0)</f>
        <v>0</v>
      </c>
      <c r="D58" s="29">
        <f>IFERROR(IF(A58&lt;=Analysis!$B$12,1/POWER(1+Analysis!$B$18/Inputs!$B$15,A58),0),0)</f>
        <v>0</v>
      </c>
      <c r="E58" s="29">
        <f t="shared" si="0"/>
        <v>0</v>
      </c>
      <c r="F58" s="30">
        <f t="shared" si="1"/>
        <v>0</v>
      </c>
      <c r="G58" s="28">
        <f t="shared" si="2"/>
        <v>0</v>
      </c>
    </row>
    <row r="59" spans="1:7">
      <c r="A59" s="27">
        <v>54</v>
      </c>
      <c r="B59" s="28">
        <f>IF(A59&lt;=Analysis!$B$12,A59/Inputs!$B$15,0)</f>
        <v>0</v>
      </c>
      <c r="C59" s="29">
        <f>IF(A59&lt;=Analysis!$B$12,Analysis!$B$11+IF(A59=Analysis!$B$12,Analysis!$B$4,0),0)</f>
        <v>0</v>
      </c>
      <c r="D59" s="29">
        <f>IFERROR(IF(A59&lt;=Analysis!$B$12,1/POWER(1+Analysis!$B$18/Inputs!$B$15,A59),0),0)</f>
        <v>0</v>
      </c>
      <c r="E59" s="29">
        <f t="shared" si="0"/>
        <v>0</v>
      </c>
      <c r="F59" s="30">
        <f t="shared" si="1"/>
        <v>0</v>
      </c>
      <c r="G59" s="28">
        <f t="shared" si="2"/>
        <v>0</v>
      </c>
    </row>
    <row r="60" spans="1:7">
      <c r="A60" s="27">
        <v>55</v>
      </c>
      <c r="B60" s="28">
        <f>IF(A60&lt;=Analysis!$B$12,A60/Inputs!$B$15,0)</f>
        <v>0</v>
      </c>
      <c r="C60" s="29">
        <f>IF(A60&lt;=Analysis!$B$12,Analysis!$B$11+IF(A60=Analysis!$B$12,Analysis!$B$4,0),0)</f>
        <v>0</v>
      </c>
      <c r="D60" s="29">
        <f>IFERROR(IF(A60&lt;=Analysis!$B$12,1/POWER(1+Analysis!$B$18/Inputs!$B$15,A60),0),0)</f>
        <v>0</v>
      </c>
      <c r="E60" s="29">
        <f t="shared" si="0"/>
        <v>0</v>
      </c>
      <c r="F60" s="30">
        <f t="shared" si="1"/>
        <v>0</v>
      </c>
      <c r="G60" s="28">
        <f t="shared" si="2"/>
        <v>0</v>
      </c>
    </row>
    <row r="61" spans="1:7">
      <c r="A61" s="27">
        <v>56</v>
      </c>
      <c r="B61" s="28">
        <f>IF(A61&lt;=Analysis!$B$12,A61/Inputs!$B$15,0)</f>
        <v>0</v>
      </c>
      <c r="C61" s="29">
        <f>IF(A61&lt;=Analysis!$B$12,Analysis!$B$11+IF(A61=Analysis!$B$12,Analysis!$B$4,0),0)</f>
        <v>0</v>
      </c>
      <c r="D61" s="29">
        <f>IFERROR(IF(A61&lt;=Analysis!$B$12,1/POWER(1+Analysis!$B$18/Inputs!$B$15,A61),0),0)</f>
        <v>0</v>
      </c>
      <c r="E61" s="29">
        <f t="shared" si="0"/>
        <v>0</v>
      </c>
      <c r="F61" s="30">
        <f t="shared" si="1"/>
        <v>0</v>
      </c>
      <c r="G61" s="28">
        <f t="shared" si="2"/>
        <v>0</v>
      </c>
    </row>
    <row r="62" spans="1:7">
      <c r="A62" s="27">
        <v>57</v>
      </c>
      <c r="B62" s="28">
        <f>IF(A62&lt;=Analysis!$B$12,A62/Inputs!$B$15,0)</f>
        <v>0</v>
      </c>
      <c r="C62" s="29">
        <f>IF(A62&lt;=Analysis!$B$12,Analysis!$B$11+IF(A62=Analysis!$B$12,Analysis!$B$4,0),0)</f>
        <v>0</v>
      </c>
      <c r="D62" s="29">
        <f>IFERROR(IF(A62&lt;=Analysis!$B$12,1/POWER(1+Analysis!$B$18/Inputs!$B$15,A62),0),0)</f>
        <v>0</v>
      </c>
      <c r="E62" s="29">
        <f t="shared" si="0"/>
        <v>0</v>
      </c>
      <c r="F62" s="30">
        <f t="shared" si="1"/>
        <v>0</v>
      </c>
      <c r="G62" s="28">
        <f t="shared" si="2"/>
        <v>0</v>
      </c>
    </row>
    <row r="63" spans="1:7">
      <c r="A63" s="27">
        <v>58</v>
      </c>
      <c r="B63" s="28">
        <f>IF(A63&lt;=Analysis!$B$12,A63/Inputs!$B$15,0)</f>
        <v>0</v>
      </c>
      <c r="C63" s="29">
        <f>IF(A63&lt;=Analysis!$B$12,Analysis!$B$11+IF(A63=Analysis!$B$12,Analysis!$B$4,0),0)</f>
        <v>0</v>
      </c>
      <c r="D63" s="29">
        <f>IFERROR(IF(A63&lt;=Analysis!$B$12,1/POWER(1+Analysis!$B$18/Inputs!$B$15,A63),0),0)</f>
        <v>0</v>
      </c>
      <c r="E63" s="29">
        <f t="shared" si="0"/>
        <v>0</v>
      </c>
      <c r="F63" s="30">
        <f t="shared" si="1"/>
        <v>0</v>
      </c>
      <c r="G63" s="28">
        <f t="shared" si="2"/>
        <v>0</v>
      </c>
    </row>
    <row r="64" spans="1:7">
      <c r="A64" s="27">
        <v>59</v>
      </c>
      <c r="B64" s="28">
        <f>IF(A64&lt;=Analysis!$B$12,A64/Inputs!$B$15,0)</f>
        <v>0</v>
      </c>
      <c r="C64" s="29">
        <f>IF(A64&lt;=Analysis!$B$12,Analysis!$B$11+IF(A64=Analysis!$B$12,Analysis!$B$4,0),0)</f>
        <v>0</v>
      </c>
      <c r="D64" s="29">
        <f>IFERROR(IF(A64&lt;=Analysis!$B$12,1/POWER(1+Analysis!$B$18/Inputs!$B$15,A64),0),0)</f>
        <v>0</v>
      </c>
      <c r="E64" s="29">
        <f t="shared" si="0"/>
        <v>0</v>
      </c>
      <c r="F64" s="30">
        <f t="shared" si="1"/>
        <v>0</v>
      </c>
      <c r="G64" s="28">
        <f t="shared" si="2"/>
        <v>0</v>
      </c>
    </row>
    <row r="65" spans="1:7">
      <c r="A65" s="27">
        <v>60</v>
      </c>
      <c r="B65" s="28">
        <f>IF(A65&lt;=Analysis!$B$12,A65/Inputs!$B$15,0)</f>
        <v>0</v>
      </c>
      <c r="C65" s="29">
        <f>IF(A65&lt;=Analysis!$B$12,Analysis!$B$11+IF(A65=Analysis!$B$12,Analysis!$B$4,0),0)</f>
        <v>0</v>
      </c>
      <c r="D65" s="29">
        <f>IFERROR(IF(A65&lt;=Analysis!$B$12,1/POWER(1+Analysis!$B$18/Inputs!$B$15,A65),0),0)</f>
        <v>0</v>
      </c>
      <c r="E65" s="29">
        <f t="shared" si="0"/>
        <v>0</v>
      </c>
      <c r="F65" s="30">
        <f t="shared" si="1"/>
        <v>0</v>
      </c>
      <c r="G65" s="28">
        <f t="shared" si="2"/>
        <v>0</v>
      </c>
    </row>
    <row r="66" spans="1:7">
      <c r="A66" s="27">
        <v>61</v>
      </c>
      <c r="B66" s="28">
        <f>IF(A66&lt;=Analysis!$B$12,A66/Inputs!$B$15,0)</f>
        <v>0</v>
      </c>
      <c r="C66" s="29">
        <f>IF(A66&lt;=Analysis!$B$12,Analysis!$B$11+IF(A66=Analysis!$B$12,Analysis!$B$4,0),0)</f>
        <v>0</v>
      </c>
      <c r="D66" s="29">
        <f>IFERROR(IF(A66&lt;=Analysis!$B$12,1/POWER(1+Analysis!$B$18/Inputs!$B$15,A66),0),0)</f>
        <v>0</v>
      </c>
      <c r="E66" s="29">
        <f t="shared" si="0"/>
        <v>0</v>
      </c>
      <c r="F66" s="30">
        <f t="shared" si="1"/>
        <v>0</v>
      </c>
      <c r="G66" s="28">
        <f t="shared" si="2"/>
        <v>0</v>
      </c>
    </row>
    <row r="67" spans="1:7">
      <c r="A67" s="27">
        <v>62</v>
      </c>
      <c r="B67" s="28">
        <f>IF(A67&lt;=Analysis!$B$12,A67/Inputs!$B$15,0)</f>
        <v>0</v>
      </c>
      <c r="C67" s="29">
        <f>IF(A67&lt;=Analysis!$B$12,Analysis!$B$11+IF(A67=Analysis!$B$12,Analysis!$B$4,0),0)</f>
        <v>0</v>
      </c>
      <c r="D67" s="29">
        <f>IFERROR(IF(A67&lt;=Analysis!$B$12,1/POWER(1+Analysis!$B$18/Inputs!$B$15,A67),0),0)</f>
        <v>0</v>
      </c>
      <c r="E67" s="29">
        <f t="shared" si="0"/>
        <v>0</v>
      </c>
      <c r="F67" s="30">
        <f t="shared" si="1"/>
        <v>0</v>
      </c>
      <c r="G67" s="28">
        <f t="shared" si="2"/>
        <v>0</v>
      </c>
    </row>
    <row r="68" spans="1:7">
      <c r="A68" s="27">
        <v>63</v>
      </c>
      <c r="B68" s="28">
        <f>IF(A68&lt;=Analysis!$B$12,A68/Inputs!$B$15,0)</f>
        <v>0</v>
      </c>
      <c r="C68" s="29">
        <f>IF(A68&lt;=Analysis!$B$12,Analysis!$B$11+IF(A68=Analysis!$B$12,Analysis!$B$4,0),0)</f>
        <v>0</v>
      </c>
      <c r="D68" s="29">
        <f>IFERROR(IF(A68&lt;=Analysis!$B$12,1/POWER(1+Analysis!$B$18/Inputs!$B$15,A68),0),0)</f>
        <v>0</v>
      </c>
      <c r="E68" s="29">
        <f t="shared" si="0"/>
        <v>0</v>
      </c>
      <c r="F68" s="30">
        <f t="shared" si="1"/>
        <v>0</v>
      </c>
      <c r="G68" s="28">
        <f t="shared" si="2"/>
        <v>0</v>
      </c>
    </row>
    <row r="69" spans="1:7">
      <c r="A69" s="27">
        <v>64</v>
      </c>
      <c r="B69" s="28">
        <f>IF(A69&lt;=Analysis!$B$12,A69/Inputs!$B$15,0)</f>
        <v>0</v>
      </c>
      <c r="C69" s="29">
        <f>IF(A69&lt;=Analysis!$B$12,Analysis!$B$11+IF(A69=Analysis!$B$12,Analysis!$B$4,0),0)</f>
        <v>0</v>
      </c>
      <c r="D69" s="29">
        <f>IFERROR(IF(A69&lt;=Analysis!$B$12,1/POWER(1+Analysis!$B$18/Inputs!$B$15,A69),0),0)</f>
        <v>0</v>
      </c>
      <c r="E69" s="29">
        <f t="shared" si="0"/>
        <v>0</v>
      </c>
      <c r="F69" s="30">
        <f t="shared" si="1"/>
        <v>0</v>
      </c>
      <c r="G69" s="28">
        <f t="shared" si="2"/>
        <v>0</v>
      </c>
    </row>
    <row r="70" spans="1:7">
      <c r="A70" s="27">
        <v>65</v>
      </c>
      <c r="B70" s="28">
        <f>IF(A70&lt;=Analysis!$B$12,A70/Inputs!$B$15,0)</f>
        <v>0</v>
      </c>
      <c r="C70" s="29">
        <f>IF(A70&lt;=Analysis!$B$12,Analysis!$B$11+IF(A70=Analysis!$B$12,Analysis!$B$4,0),0)</f>
        <v>0</v>
      </c>
      <c r="D70" s="29">
        <f>IFERROR(IF(A70&lt;=Analysis!$B$12,1/POWER(1+Analysis!$B$18/Inputs!$B$15,A70),0),0)</f>
        <v>0</v>
      </c>
      <c r="E70" s="29">
        <f t="shared" ref="E70:E133" si="3">C70*D70</f>
        <v>0</v>
      </c>
      <c r="F70" s="30">
        <f t="shared" ref="F70:F133" si="4">IFERROR(E70/SUM($E$6:$E$605),0)</f>
        <v>0</v>
      </c>
      <c r="G70" s="28">
        <f t="shared" ref="G70:G133" si="5">B70*F70</f>
        <v>0</v>
      </c>
    </row>
    <row r="71" spans="1:7">
      <c r="A71" s="27">
        <v>66</v>
      </c>
      <c r="B71" s="28">
        <f>IF(A71&lt;=Analysis!$B$12,A71/Inputs!$B$15,0)</f>
        <v>0</v>
      </c>
      <c r="C71" s="29">
        <f>IF(A71&lt;=Analysis!$B$12,Analysis!$B$11+IF(A71=Analysis!$B$12,Analysis!$B$4,0),0)</f>
        <v>0</v>
      </c>
      <c r="D71" s="29">
        <f>IFERROR(IF(A71&lt;=Analysis!$B$12,1/POWER(1+Analysis!$B$18/Inputs!$B$15,A71),0),0)</f>
        <v>0</v>
      </c>
      <c r="E71" s="29">
        <f t="shared" si="3"/>
        <v>0</v>
      </c>
      <c r="F71" s="30">
        <f t="shared" si="4"/>
        <v>0</v>
      </c>
      <c r="G71" s="28">
        <f t="shared" si="5"/>
        <v>0</v>
      </c>
    </row>
    <row r="72" spans="1:7">
      <c r="A72" s="27">
        <v>67</v>
      </c>
      <c r="B72" s="28">
        <f>IF(A72&lt;=Analysis!$B$12,A72/Inputs!$B$15,0)</f>
        <v>0</v>
      </c>
      <c r="C72" s="29">
        <f>IF(A72&lt;=Analysis!$B$12,Analysis!$B$11+IF(A72=Analysis!$B$12,Analysis!$B$4,0),0)</f>
        <v>0</v>
      </c>
      <c r="D72" s="29">
        <f>IFERROR(IF(A72&lt;=Analysis!$B$12,1/POWER(1+Analysis!$B$18/Inputs!$B$15,A72),0),0)</f>
        <v>0</v>
      </c>
      <c r="E72" s="29">
        <f t="shared" si="3"/>
        <v>0</v>
      </c>
      <c r="F72" s="30">
        <f t="shared" si="4"/>
        <v>0</v>
      </c>
      <c r="G72" s="28">
        <f t="shared" si="5"/>
        <v>0</v>
      </c>
    </row>
    <row r="73" spans="1:7">
      <c r="A73" s="27">
        <v>68</v>
      </c>
      <c r="B73" s="28">
        <f>IF(A73&lt;=Analysis!$B$12,A73/Inputs!$B$15,0)</f>
        <v>0</v>
      </c>
      <c r="C73" s="29">
        <f>IF(A73&lt;=Analysis!$B$12,Analysis!$B$11+IF(A73=Analysis!$B$12,Analysis!$B$4,0),0)</f>
        <v>0</v>
      </c>
      <c r="D73" s="29">
        <f>IFERROR(IF(A73&lt;=Analysis!$B$12,1/POWER(1+Analysis!$B$18/Inputs!$B$15,A73),0),0)</f>
        <v>0</v>
      </c>
      <c r="E73" s="29">
        <f t="shared" si="3"/>
        <v>0</v>
      </c>
      <c r="F73" s="30">
        <f t="shared" si="4"/>
        <v>0</v>
      </c>
      <c r="G73" s="28">
        <f t="shared" si="5"/>
        <v>0</v>
      </c>
    </row>
    <row r="74" spans="1:7">
      <c r="A74" s="27">
        <v>69</v>
      </c>
      <c r="B74" s="28">
        <f>IF(A74&lt;=Analysis!$B$12,A74/Inputs!$B$15,0)</f>
        <v>0</v>
      </c>
      <c r="C74" s="29">
        <f>IF(A74&lt;=Analysis!$B$12,Analysis!$B$11+IF(A74=Analysis!$B$12,Analysis!$B$4,0),0)</f>
        <v>0</v>
      </c>
      <c r="D74" s="29">
        <f>IFERROR(IF(A74&lt;=Analysis!$B$12,1/POWER(1+Analysis!$B$18/Inputs!$B$15,A74),0),0)</f>
        <v>0</v>
      </c>
      <c r="E74" s="29">
        <f t="shared" si="3"/>
        <v>0</v>
      </c>
      <c r="F74" s="30">
        <f t="shared" si="4"/>
        <v>0</v>
      </c>
      <c r="G74" s="28">
        <f t="shared" si="5"/>
        <v>0</v>
      </c>
    </row>
    <row r="75" spans="1:7">
      <c r="A75" s="27">
        <v>70</v>
      </c>
      <c r="B75" s="28">
        <f>IF(A75&lt;=Analysis!$B$12,A75/Inputs!$B$15,0)</f>
        <v>0</v>
      </c>
      <c r="C75" s="29">
        <f>IF(A75&lt;=Analysis!$B$12,Analysis!$B$11+IF(A75=Analysis!$B$12,Analysis!$B$4,0),0)</f>
        <v>0</v>
      </c>
      <c r="D75" s="29">
        <f>IFERROR(IF(A75&lt;=Analysis!$B$12,1/POWER(1+Analysis!$B$18/Inputs!$B$15,A75),0),0)</f>
        <v>0</v>
      </c>
      <c r="E75" s="29">
        <f t="shared" si="3"/>
        <v>0</v>
      </c>
      <c r="F75" s="30">
        <f t="shared" si="4"/>
        <v>0</v>
      </c>
      <c r="G75" s="28">
        <f t="shared" si="5"/>
        <v>0</v>
      </c>
    </row>
    <row r="76" spans="1:7">
      <c r="A76" s="27">
        <v>71</v>
      </c>
      <c r="B76" s="28">
        <f>IF(A76&lt;=Analysis!$B$12,A76/Inputs!$B$15,0)</f>
        <v>0</v>
      </c>
      <c r="C76" s="29">
        <f>IF(A76&lt;=Analysis!$B$12,Analysis!$B$11+IF(A76=Analysis!$B$12,Analysis!$B$4,0),0)</f>
        <v>0</v>
      </c>
      <c r="D76" s="29">
        <f>IFERROR(IF(A76&lt;=Analysis!$B$12,1/POWER(1+Analysis!$B$18/Inputs!$B$15,A76),0),0)</f>
        <v>0</v>
      </c>
      <c r="E76" s="29">
        <f t="shared" si="3"/>
        <v>0</v>
      </c>
      <c r="F76" s="30">
        <f t="shared" si="4"/>
        <v>0</v>
      </c>
      <c r="G76" s="28">
        <f t="shared" si="5"/>
        <v>0</v>
      </c>
    </row>
    <row r="77" spans="1:7">
      <c r="A77" s="27">
        <v>72</v>
      </c>
      <c r="B77" s="28">
        <f>IF(A77&lt;=Analysis!$B$12,A77/Inputs!$B$15,0)</f>
        <v>0</v>
      </c>
      <c r="C77" s="29">
        <f>IF(A77&lt;=Analysis!$B$12,Analysis!$B$11+IF(A77=Analysis!$B$12,Analysis!$B$4,0),0)</f>
        <v>0</v>
      </c>
      <c r="D77" s="29">
        <f>IFERROR(IF(A77&lt;=Analysis!$B$12,1/POWER(1+Analysis!$B$18/Inputs!$B$15,A77),0),0)</f>
        <v>0</v>
      </c>
      <c r="E77" s="29">
        <f t="shared" si="3"/>
        <v>0</v>
      </c>
      <c r="F77" s="30">
        <f t="shared" si="4"/>
        <v>0</v>
      </c>
      <c r="G77" s="28">
        <f t="shared" si="5"/>
        <v>0</v>
      </c>
    </row>
    <row r="78" spans="1:7">
      <c r="A78" s="27">
        <v>73</v>
      </c>
      <c r="B78" s="28">
        <f>IF(A78&lt;=Analysis!$B$12,A78/Inputs!$B$15,0)</f>
        <v>0</v>
      </c>
      <c r="C78" s="29">
        <f>IF(A78&lt;=Analysis!$B$12,Analysis!$B$11+IF(A78=Analysis!$B$12,Analysis!$B$4,0),0)</f>
        <v>0</v>
      </c>
      <c r="D78" s="29">
        <f>IFERROR(IF(A78&lt;=Analysis!$B$12,1/POWER(1+Analysis!$B$18/Inputs!$B$15,A78),0),0)</f>
        <v>0</v>
      </c>
      <c r="E78" s="29">
        <f t="shared" si="3"/>
        <v>0</v>
      </c>
      <c r="F78" s="30">
        <f t="shared" si="4"/>
        <v>0</v>
      </c>
      <c r="G78" s="28">
        <f t="shared" si="5"/>
        <v>0</v>
      </c>
    </row>
    <row r="79" spans="1:7">
      <c r="A79" s="27">
        <v>74</v>
      </c>
      <c r="B79" s="28">
        <f>IF(A79&lt;=Analysis!$B$12,A79/Inputs!$B$15,0)</f>
        <v>0</v>
      </c>
      <c r="C79" s="29">
        <f>IF(A79&lt;=Analysis!$B$12,Analysis!$B$11+IF(A79=Analysis!$B$12,Analysis!$B$4,0),0)</f>
        <v>0</v>
      </c>
      <c r="D79" s="29">
        <f>IFERROR(IF(A79&lt;=Analysis!$B$12,1/POWER(1+Analysis!$B$18/Inputs!$B$15,A79),0),0)</f>
        <v>0</v>
      </c>
      <c r="E79" s="29">
        <f t="shared" si="3"/>
        <v>0</v>
      </c>
      <c r="F79" s="30">
        <f t="shared" si="4"/>
        <v>0</v>
      </c>
      <c r="G79" s="28">
        <f t="shared" si="5"/>
        <v>0</v>
      </c>
    </row>
    <row r="80" spans="1:7">
      <c r="A80" s="27">
        <v>75</v>
      </c>
      <c r="B80" s="28">
        <f>IF(A80&lt;=Analysis!$B$12,A80/Inputs!$B$15,0)</f>
        <v>0</v>
      </c>
      <c r="C80" s="29">
        <f>IF(A80&lt;=Analysis!$B$12,Analysis!$B$11+IF(A80=Analysis!$B$12,Analysis!$B$4,0),0)</f>
        <v>0</v>
      </c>
      <c r="D80" s="29">
        <f>IFERROR(IF(A80&lt;=Analysis!$B$12,1/POWER(1+Analysis!$B$18/Inputs!$B$15,A80),0),0)</f>
        <v>0</v>
      </c>
      <c r="E80" s="29">
        <f t="shared" si="3"/>
        <v>0</v>
      </c>
      <c r="F80" s="30">
        <f t="shared" si="4"/>
        <v>0</v>
      </c>
      <c r="G80" s="28">
        <f t="shared" si="5"/>
        <v>0</v>
      </c>
    </row>
    <row r="81" spans="1:7">
      <c r="A81" s="27">
        <v>76</v>
      </c>
      <c r="B81" s="28">
        <f>IF(A81&lt;=Analysis!$B$12,A81/Inputs!$B$15,0)</f>
        <v>0</v>
      </c>
      <c r="C81" s="29">
        <f>IF(A81&lt;=Analysis!$B$12,Analysis!$B$11+IF(A81=Analysis!$B$12,Analysis!$B$4,0),0)</f>
        <v>0</v>
      </c>
      <c r="D81" s="29">
        <f>IFERROR(IF(A81&lt;=Analysis!$B$12,1/POWER(1+Analysis!$B$18/Inputs!$B$15,A81),0),0)</f>
        <v>0</v>
      </c>
      <c r="E81" s="29">
        <f t="shared" si="3"/>
        <v>0</v>
      </c>
      <c r="F81" s="30">
        <f t="shared" si="4"/>
        <v>0</v>
      </c>
      <c r="G81" s="28">
        <f t="shared" si="5"/>
        <v>0</v>
      </c>
    </row>
    <row r="82" spans="1:7">
      <c r="A82" s="27">
        <v>77</v>
      </c>
      <c r="B82" s="28">
        <f>IF(A82&lt;=Analysis!$B$12,A82/Inputs!$B$15,0)</f>
        <v>0</v>
      </c>
      <c r="C82" s="29">
        <f>IF(A82&lt;=Analysis!$B$12,Analysis!$B$11+IF(A82=Analysis!$B$12,Analysis!$B$4,0),0)</f>
        <v>0</v>
      </c>
      <c r="D82" s="29">
        <f>IFERROR(IF(A82&lt;=Analysis!$B$12,1/POWER(1+Analysis!$B$18/Inputs!$B$15,A82),0),0)</f>
        <v>0</v>
      </c>
      <c r="E82" s="29">
        <f t="shared" si="3"/>
        <v>0</v>
      </c>
      <c r="F82" s="30">
        <f t="shared" si="4"/>
        <v>0</v>
      </c>
      <c r="G82" s="28">
        <f t="shared" si="5"/>
        <v>0</v>
      </c>
    </row>
    <row r="83" spans="1:7">
      <c r="A83" s="27">
        <v>78</v>
      </c>
      <c r="B83" s="28">
        <f>IF(A83&lt;=Analysis!$B$12,A83/Inputs!$B$15,0)</f>
        <v>0</v>
      </c>
      <c r="C83" s="29">
        <f>IF(A83&lt;=Analysis!$B$12,Analysis!$B$11+IF(A83=Analysis!$B$12,Analysis!$B$4,0),0)</f>
        <v>0</v>
      </c>
      <c r="D83" s="29">
        <f>IFERROR(IF(A83&lt;=Analysis!$B$12,1/POWER(1+Analysis!$B$18/Inputs!$B$15,A83),0),0)</f>
        <v>0</v>
      </c>
      <c r="E83" s="29">
        <f t="shared" si="3"/>
        <v>0</v>
      </c>
      <c r="F83" s="30">
        <f t="shared" si="4"/>
        <v>0</v>
      </c>
      <c r="G83" s="28">
        <f t="shared" si="5"/>
        <v>0</v>
      </c>
    </row>
    <row r="84" spans="1:7">
      <c r="A84" s="27">
        <v>79</v>
      </c>
      <c r="B84" s="28">
        <f>IF(A84&lt;=Analysis!$B$12,A84/Inputs!$B$15,0)</f>
        <v>0</v>
      </c>
      <c r="C84" s="29">
        <f>IF(A84&lt;=Analysis!$B$12,Analysis!$B$11+IF(A84=Analysis!$B$12,Analysis!$B$4,0),0)</f>
        <v>0</v>
      </c>
      <c r="D84" s="29">
        <f>IFERROR(IF(A84&lt;=Analysis!$B$12,1/POWER(1+Analysis!$B$18/Inputs!$B$15,A84),0),0)</f>
        <v>0</v>
      </c>
      <c r="E84" s="29">
        <f t="shared" si="3"/>
        <v>0</v>
      </c>
      <c r="F84" s="30">
        <f t="shared" si="4"/>
        <v>0</v>
      </c>
      <c r="G84" s="28">
        <f t="shared" si="5"/>
        <v>0</v>
      </c>
    </row>
    <row r="85" spans="1:7">
      <c r="A85" s="27">
        <v>80</v>
      </c>
      <c r="B85" s="28">
        <f>IF(A85&lt;=Analysis!$B$12,A85/Inputs!$B$15,0)</f>
        <v>0</v>
      </c>
      <c r="C85" s="29">
        <f>IF(A85&lt;=Analysis!$B$12,Analysis!$B$11+IF(A85=Analysis!$B$12,Analysis!$B$4,0),0)</f>
        <v>0</v>
      </c>
      <c r="D85" s="29">
        <f>IFERROR(IF(A85&lt;=Analysis!$B$12,1/POWER(1+Analysis!$B$18/Inputs!$B$15,A85),0),0)</f>
        <v>0</v>
      </c>
      <c r="E85" s="29">
        <f t="shared" si="3"/>
        <v>0</v>
      </c>
      <c r="F85" s="30">
        <f t="shared" si="4"/>
        <v>0</v>
      </c>
      <c r="G85" s="28">
        <f t="shared" si="5"/>
        <v>0</v>
      </c>
    </row>
    <row r="86" spans="1:7">
      <c r="A86" s="27">
        <v>81</v>
      </c>
      <c r="B86" s="28">
        <f>IF(A86&lt;=Analysis!$B$12,A86/Inputs!$B$15,0)</f>
        <v>0</v>
      </c>
      <c r="C86" s="29">
        <f>IF(A86&lt;=Analysis!$B$12,Analysis!$B$11+IF(A86=Analysis!$B$12,Analysis!$B$4,0),0)</f>
        <v>0</v>
      </c>
      <c r="D86" s="29">
        <f>IFERROR(IF(A86&lt;=Analysis!$B$12,1/POWER(1+Analysis!$B$18/Inputs!$B$15,A86),0),0)</f>
        <v>0</v>
      </c>
      <c r="E86" s="29">
        <f t="shared" si="3"/>
        <v>0</v>
      </c>
      <c r="F86" s="30">
        <f t="shared" si="4"/>
        <v>0</v>
      </c>
      <c r="G86" s="28">
        <f t="shared" si="5"/>
        <v>0</v>
      </c>
    </row>
    <row r="87" spans="1:7">
      <c r="A87" s="27">
        <v>82</v>
      </c>
      <c r="B87" s="28">
        <f>IF(A87&lt;=Analysis!$B$12,A87/Inputs!$B$15,0)</f>
        <v>0</v>
      </c>
      <c r="C87" s="29">
        <f>IF(A87&lt;=Analysis!$B$12,Analysis!$B$11+IF(A87=Analysis!$B$12,Analysis!$B$4,0),0)</f>
        <v>0</v>
      </c>
      <c r="D87" s="29">
        <f>IFERROR(IF(A87&lt;=Analysis!$B$12,1/POWER(1+Analysis!$B$18/Inputs!$B$15,A87),0),0)</f>
        <v>0</v>
      </c>
      <c r="E87" s="29">
        <f t="shared" si="3"/>
        <v>0</v>
      </c>
      <c r="F87" s="30">
        <f t="shared" si="4"/>
        <v>0</v>
      </c>
      <c r="G87" s="28">
        <f t="shared" si="5"/>
        <v>0</v>
      </c>
    </row>
    <row r="88" spans="1:7">
      <c r="A88" s="27">
        <v>83</v>
      </c>
      <c r="B88" s="28">
        <f>IF(A88&lt;=Analysis!$B$12,A88/Inputs!$B$15,0)</f>
        <v>0</v>
      </c>
      <c r="C88" s="29">
        <f>IF(A88&lt;=Analysis!$B$12,Analysis!$B$11+IF(A88=Analysis!$B$12,Analysis!$B$4,0),0)</f>
        <v>0</v>
      </c>
      <c r="D88" s="29">
        <f>IFERROR(IF(A88&lt;=Analysis!$B$12,1/POWER(1+Analysis!$B$18/Inputs!$B$15,A88),0),0)</f>
        <v>0</v>
      </c>
      <c r="E88" s="29">
        <f t="shared" si="3"/>
        <v>0</v>
      </c>
      <c r="F88" s="30">
        <f t="shared" si="4"/>
        <v>0</v>
      </c>
      <c r="G88" s="28">
        <f t="shared" si="5"/>
        <v>0</v>
      </c>
    </row>
    <row r="89" spans="1:7">
      <c r="A89" s="27">
        <v>84</v>
      </c>
      <c r="B89" s="28">
        <f>IF(A89&lt;=Analysis!$B$12,A89/Inputs!$B$15,0)</f>
        <v>0</v>
      </c>
      <c r="C89" s="29">
        <f>IF(A89&lt;=Analysis!$B$12,Analysis!$B$11+IF(A89=Analysis!$B$12,Analysis!$B$4,0),0)</f>
        <v>0</v>
      </c>
      <c r="D89" s="29">
        <f>IFERROR(IF(A89&lt;=Analysis!$B$12,1/POWER(1+Analysis!$B$18/Inputs!$B$15,A89),0),0)</f>
        <v>0</v>
      </c>
      <c r="E89" s="29">
        <f t="shared" si="3"/>
        <v>0</v>
      </c>
      <c r="F89" s="30">
        <f t="shared" si="4"/>
        <v>0</v>
      </c>
      <c r="G89" s="28">
        <f t="shared" si="5"/>
        <v>0</v>
      </c>
    </row>
    <row r="90" spans="1:7">
      <c r="A90" s="27">
        <v>85</v>
      </c>
      <c r="B90" s="28">
        <f>IF(A90&lt;=Analysis!$B$12,A90/Inputs!$B$15,0)</f>
        <v>0</v>
      </c>
      <c r="C90" s="29">
        <f>IF(A90&lt;=Analysis!$B$12,Analysis!$B$11+IF(A90=Analysis!$B$12,Analysis!$B$4,0),0)</f>
        <v>0</v>
      </c>
      <c r="D90" s="29">
        <f>IFERROR(IF(A90&lt;=Analysis!$B$12,1/POWER(1+Analysis!$B$18/Inputs!$B$15,A90),0),0)</f>
        <v>0</v>
      </c>
      <c r="E90" s="29">
        <f t="shared" si="3"/>
        <v>0</v>
      </c>
      <c r="F90" s="30">
        <f t="shared" si="4"/>
        <v>0</v>
      </c>
      <c r="G90" s="28">
        <f t="shared" si="5"/>
        <v>0</v>
      </c>
    </row>
    <row r="91" spans="1:7">
      <c r="A91" s="27">
        <v>86</v>
      </c>
      <c r="B91" s="28">
        <f>IF(A91&lt;=Analysis!$B$12,A91/Inputs!$B$15,0)</f>
        <v>0</v>
      </c>
      <c r="C91" s="29">
        <f>IF(A91&lt;=Analysis!$B$12,Analysis!$B$11+IF(A91=Analysis!$B$12,Analysis!$B$4,0),0)</f>
        <v>0</v>
      </c>
      <c r="D91" s="29">
        <f>IFERROR(IF(A91&lt;=Analysis!$B$12,1/POWER(1+Analysis!$B$18/Inputs!$B$15,A91),0),0)</f>
        <v>0</v>
      </c>
      <c r="E91" s="29">
        <f t="shared" si="3"/>
        <v>0</v>
      </c>
      <c r="F91" s="30">
        <f t="shared" si="4"/>
        <v>0</v>
      </c>
      <c r="G91" s="28">
        <f t="shared" si="5"/>
        <v>0</v>
      </c>
    </row>
    <row r="92" spans="1:7">
      <c r="A92" s="27">
        <v>87</v>
      </c>
      <c r="B92" s="28">
        <f>IF(A92&lt;=Analysis!$B$12,A92/Inputs!$B$15,0)</f>
        <v>0</v>
      </c>
      <c r="C92" s="29">
        <f>IF(A92&lt;=Analysis!$B$12,Analysis!$B$11+IF(A92=Analysis!$B$12,Analysis!$B$4,0),0)</f>
        <v>0</v>
      </c>
      <c r="D92" s="29">
        <f>IFERROR(IF(A92&lt;=Analysis!$B$12,1/POWER(1+Analysis!$B$18/Inputs!$B$15,A92),0),0)</f>
        <v>0</v>
      </c>
      <c r="E92" s="29">
        <f t="shared" si="3"/>
        <v>0</v>
      </c>
      <c r="F92" s="30">
        <f t="shared" si="4"/>
        <v>0</v>
      </c>
      <c r="G92" s="28">
        <f t="shared" si="5"/>
        <v>0</v>
      </c>
    </row>
    <row r="93" spans="1:7">
      <c r="A93" s="27">
        <v>88</v>
      </c>
      <c r="B93" s="28">
        <f>IF(A93&lt;=Analysis!$B$12,A93/Inputs!$B$15,0)</f>
        <v>0</v>
      </c>
      <c r="C93" s="29">
        <f>IF(A93&lt;=Analysis!$B$12,Analysis!$B$11+IF(A93=Analysis!$B$12,Analysis!$B$4,0),0)</f>
        <v>0</v>
      </c>
      <c r="D93" s="29">
        <f>IFERROR(IF(A93&lt;=Analysis!$B$12,1/POWER(1+Analysis!$B$18/Inputs!$B$15,A93),0),0)</f>
        <v>0</v>
      </c>
      <c r="E93" s="29">
        <f t="shared" si="3"/>
        <v>0</v>
      </c>
      <c r="F93" s="30">
        <f t="shared" si="4"/>
        <v>0</v>
      </c>
      <c r="G93" s="28">
        <f t="shared" si="5"/>
        <v>0</v>
      </c>
    </row>
    <row r="94" spans="1:7">
      <c r="A94" s="27">
        <v>89</v>
      </c>
      <c r="B94" s="28">
        <f>IF(A94&lt;=Analysis!$B$12,A94/Inputs!$B$15,0)</f>
        <v>0</v>
      </c>
      <c r="C94" s="29">
        <f>IF(A94&lt;=Analysis!$B$12,Analysis!$B$11+IF(A94=Analysis!$B$12,Analysis!$B$4,0),0)</f>
        <v>0</v>
      </c>
      <c r="D94" s="29">
        <f>IFERROR(IF(A94&lt;=Analysis!$B$12,1/POWER(1+Analysis!$B$18/Inputs!$B$15,A94),0),0)</f>
        <v>0</v>
      </c>
      <c r="E94" s="29">
        <f t="shared" si="3"/>
        <v>0</v>
      </c>
      <c r="F94" s="30">
        <f t="shared" si="4"/>
        <v>0</v>
      </c>
      <c r="G94" s="28">
        <f t="shared" si="5"/>
        <v>0</v>
      </c>
    </row>
    <row r="95" spans="1:7">
      <c r="A95" s="27">
        <v>90</v>
      </c>
      <c r="B95" s="28">
        <f>IF(A95&lt;=Analysis!$B$12,A95/Inputs!$B$15,0)</f>
        <v>0</v>
      </c>
      <c r="C95" s="29">
        <f>IF(A95&lt;=Analysis!$B$12,Analysis!$B$11+IF(A95=Analysis!$B$12,Analysis!$B$4,0),0)</f>
        <v>0</v>
      </c>
      <c r="D95" s="29">
        <f>IFERROR(IF(A95&lt;=Analysis!$B$12,1/POWER(1+Analysis!$B$18/Inputs!$B$15,A95),0),0)</f>
        <v>0</v>
      </c>
      <c r="E95" s="29">
        <f t="shared" si="3"/>
        <v>0</v>
      </c>
      <c r="F95" s="30">
        <f t="shared" si="4"/>
        <v>0</v>
      </c>
      <c r="G95" s="28">
        <f t="shared" si="5"/>
        <v>0</v>
      </c>
    </row>
    <row r="96" spans="1:7">
      <c r="A96" s="27">
        <v>91</v>
      </c>
      <c r="B96" s="28">
        <f>IF(A96&lt;=Analysis!$B$12,A96/Inputs!$B$15,0)</f>
        <v>0</v>
      </c>
      <c r="C96" s="29">
        <f>IF(A96&lt;=Analysis!$B$12,Analysis!$B$11+IF(A96=Analysis!$B$12,Analysis!$B$4,0),0)</f>
        <v>0</v>
      </c>
      <c r="D96" s="29">
        <f>IFERROR(IF(A96&lt;=Analysis!$B$12,1/POWER(1+Analysis!$B$18/Inputs!$B$15,A96),0),0)</f>
        <v>0</v>
      </c>
      <c r="E96" s="29">
        <f t="shared" si="3"/>
        <v>0</v>
      </c>
      <c r="F96" s="30">
        <f t="shared" si="4"/>
        <v>0</v>
      </c>
      <c r="G96" s="28">
        <f t="shared" si="5"/>
        <v>0</v>
      </c>
    </row>
    <row r="97" spans="1:7">
      <c r="A97" s="27">
        <v>92</v>
      </c>
      <c r="B97" s="28">
        <f>IF(A97&lt;=Analysis!$B$12,A97/Inputs!$B$15,0)</f>
        <v>0</v>
      </c>
      <c r="C97" s="29">
        <f>IF(A97&lt;=Analysis!$B$12,Analysis!$B$11+IF(A97=Analysis!$B$12,Analysis!$B$4,0),0)</f>
        <v>0</v>
      </c>
      <c r="D97" s="29">
        <f>IFERROR(IF(A97&lt;=Analysis!$B$12,1/POWER(1+Analysis!$B$18/Inputs!$B$15,A97),0),0)</f>
        <v>0</v>
      </c>
      <c r="E97" s="29">
        <f t="shared" si="3"/>
        <v>0</v>
      </c>
      <c r="F97" s="30">
        <f t="shared" si="4"/>
        <v>0</v>
      </c>
      <c r="G97" s="28">
        <f t="shared" si="5"/>
        <v>0</v>
      </c>
    </row>
    <row r="98" spans="1:7">
      <c r="A98" s="27">
        <v>93</v>
      </c>
      <c r="B98" s="28">
        <f>IF(A98&lt;=Analysis!$B$12,A98/Inputs!$B$15,0)</f>
        <v>0</v>
      </c>
      <c r="C98" s="29">
        <f>IF(A98&lt;=Analysis!$B$12,Analysis!$B$11+IF(A98=Analysis!$B$12,Analysis!$B$4,0),0)</f>
        <v>0</v>
      </c>
      <c r="D98" s="29">
        <f>IFERROR(IF(A98&lt;=Analysis!$B$12,1/POWER(1+Analysis!$B$18/Inputs!$B$15,A98),0),0)</f>
        <v>0</v>
      </c>
      <c r="E98" s="29">
        <f t="shared" si="3"/>
        <v>0</v>
      </c>
      <c r="F98" s="30">
        <f t="shared" si="4"/>
        <v>0</v>
      </c>
      <c r="G98" s="28">
        <f t="shared" si="5"/>
        <v>0</v>
      </c>
    </row>
    <row r="99" spans="1:7">
      <c r="A99" s="27">
        <v>94</v>
      </c>
      <c r="B99" s="28">
        <f>IF(A99&lt;=Analysis!$B$12,A99/Inputs!$B$15,0)</f>
        <v>0</v>
      </c>
      <c r="C99" s="29">
        <f>IF(A99&lt;=Analysis!$B$12,Analysis!$B$11+IF(A99=Analysis!$B$12,Analysis!$B$4,0),0)</f>
        <v>0</v>
      </c>
      <c r="D99" s="29">
        <f>IFERROR(IF(A99&lt;=Analysis!$B$12,1/POWER(1+Analysis!$B$18/Inputs!$B$15,A99),0),0)</f>
        <v>0</v>
      </c>
      <c r="E99" s="29">
        <f t="shared" si="3"/>
        <v>0</v>
      </c>
      <c r="F99" s="30">
        <f t="shared" si="4"/>
        <v>0</v>
      </c>
      <c r="G99" s="28">
        <f t="shared" si="5"/>
        <v>0</v>
      </c>
    </row>
    <row r="100" spans="1:7">
      <c r="A100" s="27">
        <v>95</v>
      </c>
      <c r="B100" s="28">
        <f>IF(A100&lt;=Analysis!$B$12,A100/Inputs!$B$15,0)</f>
        <v>0</v>
      </c>
      <c r="C100" s="29">
        <f>IF(A100&lt;=Analysis!$B$12,Analysis!$B$11+IF(A100=Analysis!$B$12,Analysis!$B$4,0),0)</f>
        <v>0</v>
      </c>
      <c r="D100" s="29">
        <f>IFERROR(IF(A100&lt;=Analysis!$B$12,1/POWER(1+Analysis!$B$18/Inputs!$B$15,A100),0),0)</f>
        <v>0</v>
      </c>
      <c r="E100" s="29">
        <f t="shared" si="3"/>
        <v>0</v>
      </c>
      <c r="F100" s="30">
        <f t="shared" si="4"/>
        <v>0</v>
      </c>
      <c r="G100" s="28">
        <f t="shared" si="5"/>
        <v>0</v>
      </c>
    </row>
    <row r="101" spans="1:7">
      <c r="A101" s="27">
        <v>96</v>
      </c>
      <c r="B101" s="28">
        <f>IF(A101&lt;=Analysis!$B$12,A101/Inputs!$B$15,0)</f>
        <v>0</v>
      </c>
      <c r="C101" s="29">
        <f>IF(A101&lt;=Analysis!$B$12,Analysis!$B$11+IF(A101=Analysis!$B$12,Analysis!$B$4,0),0)</f>
        <v>0</v>
      </c>
      <c r="D101" s="29">
        <f>IFERROR(IF(A101&lt;=Analysis!$B$12,1/POWER(1+Analysis!$B$18/Inputs!$B$15,A101),0),0)</f>
        <v>0</v>
      </c>
      <c r="E101" s="29">
        <f t="shared" si="3"/>
        <v>0</v>
      </c>
      <c r="F101" s="30">
        <f t="shared" si="4"/>
        <v>0</v>
      </c>
      <c r="G101" s="28">
        <f t="shared" si="5"/>
        <v>0</v>
      </c>
    </row>
    <row r="102" spans="1:7">
      <c r="A102" s="27">
        <v>97</v>
      </c>
      <c r="B102" s="28">
        <f>IF(A102&lt;=Analysis!$B$12,A102/Inputs!$B$15,0)</f>
        <v>0</v>
      </c>
      <c r="C102" s="29">
        <f>IF(A102&lt;=Analysis!$B$12,Analysis!$B$11+IF(A102=Analysis!$B$12,Analysis!$B$4,0),0)</f>
        <v>0</v>
      </c>
      <c r="D102" s="29">
        <f>IFERROR(IF(A102&lt;=Analysis!$B$12,1/POWER(1+Analysis!$B$18/Inputs!$B$15,A102),0),0)</f>
        <v>0</v>
      </c>
      <c r="E102" s="29">
        <f t="shared" si="3"/>
        <v>0</v>
      </c>
      <c r="F102" s="30">
        <f t="shared" si="4"/>
        <v>0</v>
      </c>
      <c r="G102" s="28">
        <f t="shared" si="5"/>
        <v>0</v>
      </c>
    </row>
    <row r="103" spans="1:7">
      <c r="A103" s="27">
        <v>98</v>
      </c>
      <c r="B103" s="28">
        <f>IF(A103&lt;=Analysis!$B$12,A103/Inputs!$B$15,0)</f>
        <v>0</v>
      </c>
      <c r="C103" s="29">
        <f>IF(A103&lt;=Analysis!$B$12,Analysis!$B$11+IF(A103=Analysis!$B$12,Analysis!$B$4,0),0)</f>
        <v>0</v>
      </c>
      <c r="D103" s="29">
        <f>IFERROR(IF(A103&lt;=Analysis!$B$12,1/POWER(1+Analysis!$B$18/Inputs!$B$15,A103),0),0)</f>
        <v>0</v>
      </c>
      <c r="E103" s="29">
        <f t="shared" si="3"/>
        <v>0</v>
      </c>
      <c r="F103" s="30">
        <f t="shared" si="4"/>
        <v>0</v>
      </c>
      <c r="G103" s="28">
        <f t="shared" si="5"/>
        <v>0</v>
      </c>
    </row>
    <row r="104" spans="1:7">
      <c r="A104" s="27">
        <v>99</v>
      </c>
      <c r="B104" s="28">
        <f>IF(A104&lt;=Analysis!$B$12,A104/Inputs!$B$15,0)</f>
        <v>0</v>
      </c>
      <c r="C104" s="29">
        <f>IF(A104&lt;=Analysis!$B$12,Analysis!$B$11+IF(A104=Analysis!$B$12,Analysis!$B$4,0),0)</f>
        <v>0</v>
      </c>
      <c r="D104" s="29">
        <f>IFERROR(IF(A104&lt;=Analysis!$B$12,1/POWER(1+Analysis!$B$18/Inputs!$B$15,A104),0),0)</f>
        <v>0</v>
      </c>
      <c r="E104" s="29">
        <f t="shared" si="3"/>
        <v>0</v>
      </c>
      <c r="F104" s="30">
        <f t="shared" si="4"/>
        <v>0</v>
      </c>
      <c r="G104" s="28">
        <f t="shared" si="5"/>
        <v>0</v>
      </c>
    </row>
    <row r="105" spans="1:7">
      <c r="A105" s="27">
        <v>100</v>
      </c>
      <c r="B105" s="28">
        <f>IF(A105&lt;=Analysis!$B$12,A105/Inputs!$B$15,0)</f>
        <v>0</v>
      </c>
      <c r="C105" s="29">
        <f>IF(A105&lt;=Analysis!$B$12,Analysis!$B$11+IF(A105=Analysis!$B$12,Analysis!$B$4,0),0)</f>
        <v>0</v>
      </c>
      <c r="D105" s="29">
        <f>IFERROR(IF(A105&lt;=Analysis!$B$12,1/POWER(1+Analysis!$B$18/Inputs!$B$15,A105),0),0)</f>
        <v>0</v>
      </c>
      <c r="E105" s="29">
        <f t="shared" si="3"/>
        <v>0</v>
      </c>
      <c r="F105" s="30">
        <f t="shared" si="4"/>
        <v>0</v>
      </c>
      <c r="G105" s="28">
        <f t="shared" si="5"/>
        <v>0</v>
      </c>
    </row>
    <row r="106" spans="1:7">
      <c r="A106" s="27">
        <v>101</v>
      </c>
      <c r="B106" s="28">
        <f>IF(A106&lt;=Analysis!$B$12,A106/Inputs!$B$15,0)</f>
        <v>0</v>
      </c>
      <c r="C106" s="29">
        <f>IF(A106&lt;=Analysis!$B$12,Analysis!$B$11+IF(A106=Analysis!$B$12,Analysis!$B$4,0),0)</f>
        <v>0</v>
      </c>
      <c r="D106" s="29">
        <f>IFERROR(IF(A106&lt;=Analysis!$B$12,1/POWER(1+Analysis!$B$18/Inputs!$B$15,A106),0),0)</f>
        <v>0</v>
      </c>
      <c r="E106" s="29">
        <f t="shared" si="3"/>
        <v>0</v>
      </c>
      <c r="F106" s="30">
        <f t="shared" si="4"/>
        <v>0</v>
      </c>
      <c r="G106" s="28">
        <f t="shared" si="5"/>
        <v>0</v>
      </c>
    </row>
    <row r="107" spans="1:7">
      <c r="A107" s="27">
        <v>102</v>
      </c>
      <c r="B107" s="28">
        <f>IF(A107&lt;=Analysis!$B$12,A107/Inputs!$B$15,0)</f>
        <v>0</v>
      </c>
      <c r="C107" s="29">
        <f>IF(A107&lt;=Analysis!$B$12,Analysis!$B$11+IF(A107=Analysis!$B$12,Analysis!$B$4,0),0)</f>
        <v>0</v>
      </c>
      <c r="D107" s="29">
        <f>IFERROR(IF(A107&lt;=Analysis!$B$12,1/POWER(1+Analysis!$B$18/Inputs!$B$15,A107),0),0)</f>
        <v>0</v>
      </c>
      <c r="E107" s="29">
        <f t="shared" si="3"/>
        <v>0</v>
      </c>
      <c r="F107" s="30">
        <f t="shared" si="4"/>
        <v>0</v>
      </c>
      <c r="G107" s="28">
        <f t="shared" si="5"/>
        <v>0</v>
      </c>
    </row>
    <row r="108" spans="1:7">
      <c r="A108" s="27">
        <v>103</v>
      </c>
      <c r="B108" s="28">
        <f>IF(A108&lt;=Analysis!$B$12,A108/Inputs!$B$15,0)</f>
        <v>0</v>
      </c>
      <c r="C108" s="29">
        <f>IF(A108&lt;=Analysis!$B$12,Analysis!$B$11+IF(A108=Analysis!$B$12,Analysis!$B$4,0),0)</f>
        <v>0</v>
      </c>
      <c r="D108" s="29">
        <f>IFERROR(IF(A108&lt;=Analysis!$B$12,1/POWER(1+Analysis!$B$18/Inputs!$B$15,A108),0),0)</f>
        <v>0</v>
      </c>
      <c r="E108" s="29">
        <f t="shared" si="3"/>
        <v>0</v>
      </c>
      <c r="F108" s="30">
        <f t="shared" si="4"/>
        <v>0</v>
      </c>
      <c r="G108" s="28">
        <f t="shared" si="5"/>
        <v>0</v>
      </c>
    </row>
    <row r="109" spans="1:7">
      <c r="A109" s="27">
        <v>104</v>
      </c>
      <c r="B109" s="28">
        <f>IF(A109&lt;=Analysis!$B$12,A109/Inputs!$B$15,0)</f>
        <v>0</v>
      </c>
      <c r="C109" s="29">
        <f>IF(A109&lt;=Analysis!$B$12,Analysis!$B$11+IF(A109=Analysis!$B$12,Analysis!$B$4,0),0)</f>
        <v>0</v>
      </c>
      <c r="D109" s="29">
        <f>IFERROR(IF(A109&lt;=Analysis!$B$12,1/POWER(1+Analysis!$B$18/Inputs!$B$15,A109),0),0)</f>
        <v>0</v>
      </c>
      <c r="E109" s="29">
        <f t="shared" si="3"/>
        <v>0</v>
      </c>
      <c r="F109" s="30">
        <f t="shared" si="4"/>
        <v>0</v>
      </c>
      <c r="G109" s="28">
        <f t="shared" si="5"/>
        <v>0</v>
      </c>
    </row>
    <row r="110" spans="1:7">
      <c r="A110" s="27">
        <v>105</v>
      </c>
      <c r="B110" s="28">
        <f>IF(A110&lt;=Analysis!$B$12,A110/Inputs!$B$15,0)</f>
        <v>0</v>
      </c>
      <c r="C110" s="29">
        <f>IF(A110&lt;=Analysis!$B$12,Analysis!$B$11+IF(A110=Analysis!$B$12,Analysis!$B$4,0),0)</f>
        <v>0</v>
      </c>
      <c r="D110" s="29">
        <f>IFERROR(IF(A110&lt;=Analysis!$B$12,1/POWER(1+Analysis!$B$18/Inputs!$B$15,A110),0),0)</f>
        <v>0</v>
      </c>
      <c r="E110" s="29">
        <f t="shared" si="3"/>
        <v>0</v>
      </c>
      <c r="F110" s="30">
        <f t="shared" si="4"/>
        <v>0</v>
      </c>
      <c r="G110" s="28">
        <f t="shared" si="5"/>
        <v>0</v>
      </c>
    </row>
    <row r="111" spans="1:7">
      <c r="A111" s="27">
        <v>106</v>
      </c>
      <c r="B111" s="28">
        <f>IF(A111&lt;=Analysis!$B$12,A111/Inputs!$B$15,0)</f>
        <v>0</v>
      </c>
      <c r="C111" s="29">
        <f>IF(A111&lt;=Analysis!$B$12,Analysis!$B$11+IF(A111=Analysis!$B$12,Analysis!$B$4,0),0)</f>
        <v>0</v>
      </c>
      <c r="D111" s="29">
        <f>IFERROR(IF(A111&lt;=Analysis!$B$12,1/POWER(1+Analysis!$B$18/Inputs!$B$15,A111),0),0)</f>
        <v>0</v>
      </c>
      <c r="E111" s="29">
        <f t="shared" si="3"/>
        <v>0</v>
      </c>
      <c r="F111" s="30">
        <f t="shared" si="4"/>
        <v>0</v>
      </c>
      <c r="G111" s="28">
        <f t="shared" si="5"/>
        <v>0</v>
      </c>
    </row>
    <row r="112" spans="1:7">
      <c r="A112" s="27">
        <v>107</v>
      </c>
      <c r="B112" s="28">
        <f>IF(A112&lt;=Analysis!$B$12,A112/Inputs!$B$15,0)</f>
        <v>0</v>
      </c>
      <c r="C112" s="29">
        <f>IF(A112&lt;=Analysis!$B$12,Analysis!$B$11+IF(A112=Analysis!$B$12,Analysis!$B$4,0),0)</f>
        <v>0</v>
      </c>
      <c r="D112" s="29">
        <f>IFERROR(IF(A112&lt;=Analysis!$B$12,1/POWER(1+Analysis!$B$18/Inputs!$B$15,A112),0),0)</f>
        <v>0</v>
      </c>
      <c r="E112" s="29">
        <f t="shared" si="3"/>
        <v>0</v>
      </c>
      <c r="F112" s="30">
        <f t="shared" si="4"/>
        <v>0</v>
      </c>
      <c r="G112" s="28">
        <f t="shared" si="5"/>
        <v>0</v>
      </c>
    </row>
    <row r="113" spans="1:7">
      <c r="A113" s="27">
        <v>108</v>
      </c>
      <c r="B113" s="28">
        <f>IF(A113&lt;=Analysis!$B$12,A113/Inputs!$B$15,0)</f>
        <v>0</v>
      </c>
      <c r="C113" s="29">
        <f>IF(A113&lt;=Analysis!$B$12,Analysis!$B$11+IF(A113=Analysis!$B$12,Analysis!$B$4,0),0)</f>
        <v>0</v>
      </c>
      <c r="D113" s="29">
        <f>IFERROR(IF(A113&lt;=Analysis!$B$12,1/POWER(1+Analysis!$B$18/Inputs!$B$15,A113),0),0)</f>
        <v>0</v>
      </c>
      <c r="E113" s="29">
        <f t="shared" si="3"/>
        <v>0</v>
      </c>
      <c r="F113" s="30">
        <f t="shared" si="4"/>
        <v>0</v>
      </c>
      <c r="G113" s="28">
        <f t="shared" si="5"/>
        <v>0</v>
      </c>
    </row>
    <row r="114" spans="1:7">
      <c r="A114" s="27">
        <v>109</v>
      </c>
      <c r="B114" s="28">
        <f>IF(A114&lt;=Analysis!$B$12,A114/Inputs!$B$15,0)</f>
        <v>0</v>
      </c>
      <c r="C114" s="29">
        <f>IF(A114&lt;=Analysis!$B$12,Analysis!$B$11+IF(A114=Analysis!$B$12,Analysis!$B$4,0),0)</f>
        <v>0</v>
      </c>
      <c r="D114" s="29">
        <f>IFERROR(IF(A114&lt;=Analysis!$B$12,1/POWER(1+Analysis!$B$18/Inputs!$B$15,A114),0),0)</f>
        <v>0</v>
      </c>
      <c r="E114" s="29">
        <f t="shared" si="3"/>
        <v>0</v>
      </c>
      <c r="F114" s="30">
        <f t="shared" si="4"/>
        <v>0</v>
      </c>
      <c r="G114" s="28">
        <f t="shared" si="5"/>
        <v>0</v>
      </c>
    </row>
    <row r="115" spans="1:7">
      <c r="A115" s="27">
        <v>110</v>
      </c>
      <c r="B115" s="28">
        <f>IF(A115&lt;=Analysis!$B$12,A115/Inputs!$B$15,0)</f>
        <v>0</v>
      </c>
      <c r="C115" s="29">
        <f>IF(A115&lt;=Analysis!$B$12,Analysis!$B$11+IF(A115=Analysis!$B$12,Analysis!$B$4,0),0)</f>
        <v>0</v>
      </c>
      <c r="D115" s="29">
        <f>IFERROR(IF(A115&lt;=Analysis!$B$12,1/POWER(1+Analysis!$B$18/Inputs!$B$15,A115),0),0)</f>
        <v>0</v>
      </c>
      <c r="E115" s="29">
        <f t="shared" si="3"/>
        <v>0</v>
      </c>
      <c r="F115" s="30">
        <f t="shared" si="4"/>
        <v>0</v>
      </c>
      <c r="G115" s="28">
        <f t="shared" si="5"/>
        <v>0</v>
      </c>
    </row>
    <row r="116" spans="1:7">
      <c r="A116" s="27">
        <v>111</v>
      </c>
      <c r="B116" s="28">
        <f>IF(A116&lt;=Analysis!$B$12,A116/Inputs!$B$15,0)</f>
        <v>0</v>
      </c>
      <c r="C116" s="29">
        <f>IF(A116&lt;=Analysis!$B$12,Analysis!$B$11+IF(A116=Analysis!$B$12,Analysis!$B$4,0),0)</f>
        <v>0</v>
      </c>
      <c r="D116" s="29">
        <f>IFERROR(IF(A116&lt;=Analysis!$B$12,1/POWER(1+Analysis!$B$18/Inputs!$B$15,A116),0),0)</f>
        <v>0</v>
      </c>
      <c r="E116" s="29">
        <f t="shared" si="3"/>
        <v>0</v>
      </c>
      <c r="F116" s="30">
        <f t="shared" si="4"/>
        <v>0</v>
      </c>
      <c r="G116" s="28">
        <f t="shared" si="5"/>
        <v>0</v>
      </c>
    </row>
    <row r="117" spans="1:7">
      <c r="A117" s="27">
        <v>112</v>
      </c>
      <c r="B117" s="28">
        <f>IF(A117&lt;=Analysis!$B$12,A117/Inputs!$B$15,0)</f>
        <v>0</v>
      </c>
      <c r="C117" s="29">
        <f>IF(A117&lt;=Analysis!$B$12,Analysis!$B$11+IF(A117=Analysis!$B$12,Analysis!$B$4,0),0)</f>
        <v>0</v>
      </c>
      <c r="D117" s="29">
        <f>IFERROR(IF(A117&lt;=Analysis!$B$12,1/POWER(1+Analysis!$B$18/Inputs!$B$15,A117),0),0)</f>
        <v>0</v>
      </c>
      <c r="E117" s="29">
        <f t="shared" si="3"/>
        <v>0</v>
      </c>
      <c r="F117" s="30">
        <f t="shared" si="4"/>
        <v>0</v>
      </c>
      <c r="G117" s="28">
        <f t="shared" si="5"/>
        <v>0</v>
      </c>
    </row>
    <row r="118" spans="1:7">
      <c r="A118" s="27">
        <v>113</v>
      </c>
      <c r="B118" s="28">
        <f>IF(A118&lt;=Analysis!$B$12,A118/Inputs!$B$15,0)</f>
        <v>0</v>
      </c>
      <c r="C118" s="29">
        <f>IF(A118&lt;=Analysis!$B$12,Analysis!$B$11+IF(A118=Analysis!$B$12,Analysis!$B$4,0),0)</f>
        <v>0</v>
      </c>
      <c r="D118" s="29">
        <f>IFERROR(IF(A118&lt;=Analysis!$B$12,1/POWER(1+Analysis!$B$18/Inputs!$B$15,A118),0),0)</f>
        <v>0</v>
      </c>
      <c r="E118" s="29">
        <f t="shared" si="3"/>
        <v>0</v>
      </c>
      <c r="F118" s="30">
        <f t="shared" si="4"/>
        <v>0</v>
      </c>
      <c r="G118" s="28">
        <f t="shared" si="5"/>
        <v>0</v>
      </c>
    </row>
    <row r="119" spans="1:7">
      <c r="A119" s="27">
        <v>114</v>
      </c>
      <c r="B119" s="28">
        <f>IF(A119&lt;=Analysis!$B$12,A119/Inputs!$B$15,0)</f>
        <v>0</v>
      </c>
      <c r="C119" s="29">
        <f>IF(A119&lt;=Analysis!$B$12,Analysis!$B$11+IF(A119=Analysis!$B$12,Analysis!$B$4,0),0)</f>
        <v>0</v>
      </c>
      <c r="D119" s="29">
        <f>IFERROR(IF(A119&lt;=Analysis!$B$12,1/POWER(1+Analysis!$B$18/Inputs!$B$15,A119),0),0)</f>
        <v>0</v>
      </c>
      <c r="E119" s="29">
        <f t="shared" si="3"/>
        <v>0</v>
      </c>
      <c r="F119" s="30">
        <f t="shared" si="4"/>
        <v>0</v>
      </c>
      <c r="G119" s="28">
        <f t="shared" si="5"/>
        <v>0</v>
      </c>
    </row>
    <row r="120" spans="1:7">
      <c r="A120" s="27">
        <v>115</v>
      </c>
      <c r="B120" s="28">
        <f>IF(A120&lt;=Analysis!$B$12,A120/Inputs!$B$15,0)</f>
        <v>0</v>
      </c>
      <c r="C120" s="29">
        <f>IF(A120&lt;=Analysis!$B$12,Analysis!$B$11+IF(A120=Analysis!$B$12,Analysis!$B$4,0),0)</f>
        <v>0</v>
      </c>
      <c r="D120" s="29">
        <f>IFERROR(IF(A120&lt;=Analysis!$B$12,1/POWER(1+Analysis!$B$18/Inputs!$B$15,A120),0),0)</f>
        <v>0</v>
      </c>
      <c r="E120" s="29">
        <f t="shared" si="3"/>
        <v>0</v>
      </c>
      <c r="F120" s="30">
        <f t="shared" si="4"/>
        <v>0</v>
      </c>
      <c r="G120" s="28">
        <f t="shared" si="5"/>
        <v>0</v>
      </c>
    </row>
    <row r="121" spans="1:7">
      <c r="A121" s="27">
        <v>116</v>
      </c>
      <c r="B121" s="28">
        <f>IF(A121&lt;=Analysis!$B$12,A121/Inputs!$B$15,0)</f>
        <v>0</v>
      </c>
      <c r="C121" s="29">
        <f>IF(A121&lt;=Analysis!$B$12,Analysis!$B$11+IF(A121=Analysis!$B$12,Analysis!$B$4,0),0)</f>
        <v>0</v>
      </c>
      <c r="D121" s="29">
        <f>IFERROR(IF(A121&lt;=Analysis!$B$12,1/POWER(1+Analysis!$B$18/Inputs!$B$15,A121),0),0)</f>
        <v>0</v>
      </c>
      <c r="E121" s="29">
        <f t="shared" si="3"/>
        <v>0</v>
      </c>
      <c r="F121" s="30">
        <f t="shared" si="4"/>
        <v>0</v>
      </c>
      <c r="G121" s="28">
        <f t="shared" si="5"/>
        <v>0</v>
      </c>
    </row>
    <row r="122" spans="1:7">
      <c r="A122" s="27">
        <v>117</v>
      </c>
      <c r="B122" s="28">
        <f>IF(A122&lt;=Analysis!$B$12,A122/Inputs!$B$15,0)</f>
        <v>0</v>
      </c>
      <c r="C122" s="29">
        <f>IF(A122&lt;=Analysis!$B$12,Analysis!$B$11+IF(A122=Analysis!$B$12,Analysis!$B$4,0),0)</f>
        <v>0</v>
      </c>
      <c r="D122" s="29">
        <f>IFERROR(IF(A122&lt;=Analysis!$B$12,1/POWER(1+Analysis!$B$18/Inputs!$B$15,A122),0),0)</f>
        <v>0</v>
      </c>
      <c r="E122" s="29">
        <f t="shared" si="3"/>
        <v>0</v>
      </c>
      <c r="F122" s="30">
        <f t="shared" si="4"/>
        <v>0</v>
      </c>
      <c r="G122" s="28">
        <f t="shared" si="5"/>
        <v>0</v>
      </c>
    </row>
    <row r="123" spans="1:7">
      <c r="A123" s="27">
        <v>118</v>
      </c>
      <c r="B123" s="28">
        <f>IF(A123&lt;=Analysis!$B$12,A123/Inputs!$B$15,0)</f>
        <v>0</v>
      </c>
      <c r="C123" s="29">
        <f>IF(A123&lt;=Analysis!$B$12,Analysis!$B$11+IF(A123=Analysis!$B$12,Analysis!$B$4,0),0)</f>
        <v>0</v>
      </c>
      <c r="D123" s="29">
        <f>IFERROR(IF(A123&lt;=Analysis!$B$12,1/POWER(1+Analysis!$B$18/Inputs!$B$15,A123),0),0)</f>
        <v>0</v>
      </c>
      <c r="E123" s="29">
        <f t="shared" si="3"/>
        <v>0</v>
      </c>
      <c r="F123" s="30">
        <f t="shared" si="4"/>
        <v>0</v>
      </c>
      <c r="G123" s="28">
        <f t="shared" si="5"/>
        <v>0</v>
      </c>
    </row>
    <row r="124" spans="1:7">
      <c r="A124" s="27">
        <v>119</v>
      </c>
      <c r="B124" s="28">
        <f>IF(A124&lt;=Analysis!$B$12,A124/Inputs!$B$15,0)</f>
        <v>0</v>
      </c>
      <c r="C124" s="29">
        <f>IF(A124&lt;=Analysis!$B$12,Analysis!$B$11+IF(A124=Analysis!$B$12,Analysis!$B$4,0),0)</f>
        <v>0</v>
      </c>
      <c r="D124" s="29">
        <f>IFERROR(IF(A124&lt;=Analysis!$B$12,1/POWER(1+Analysis!$B$18/Inputs!$B$15,A124),0),0)</f>
        <v>0</v>
      </c>
      <c r="E124" s="29">
        <f t="shared" si="3"/>
        <v>0</v>
      </c>
      <c r="F124" s="30">
        <f t="shared" si="4"/>
        <v>0</v>
      </c>
      <c r="G124" s="28">
        <f t="shared" si="5"/>
        <v>0</v>
      </c>
    </row>
    <row r="125" spans="1:7">
      <c r="A125" s="27">
        <v>120</v>
      </c>
      <c r="B125" s="28">
        <f>IF(A125&lt;=Analysis!$B$12,A125/Inputs!$B$15,0)</f>
        <v>0</v>
      </c>
      <c r="C125" s="29">
        <f>IF(A125&lt;=Analysis!$B$12,Analysis!$B$11+IF(A125=Analysis!$B$12,Analysis!$B$4,0),0)</f>
        <v>0</v>
      </c>
      <c r="D125" s="29">
        <f>IFERROR(IF(A125&lt;=Analysis!$B$12,1/POWER(1+Analysis!$B$18/Inputs!$B$15,A125),0),0)</f>
        <v>0</v>
      </c>
      <c r="E125" s="29">
        <f t="shared" si="3"/>
        <v>0</v>
      </c>
      <c r="F125" s="30">
        <f t="shared" si="4"/>
        <v>0</v>
      </c>
      <c r="G125" s="28">
        <f t="shared" si="5"/>
        <v>0</v>
      </c>
    </row>
    <row r="126" spans="1:7">
      <c r="A126" s="27">
        <v>121</v>
      </c>
      <c r="B126" s="28">
        <f>IF(A126&lt;=Analysis!$B$12,A126/Inputs!$B$15,0)</f>
        <v>0</v>
      </c>
      <c r="C126" s="29">
        <f>IF(A126&lt;=Analysis!$B$12,Analysis!$B$11+IF(A126=Analysis!$B$12,Analysis!$B$4,0),0)</f>
        <v>0</v>
      </c>
      <c r="D126" s="29">
        <f>IFERROR(IF(A126&lt;=Analysis!$B$12,1/POWER(1+Analysis!$B$18/Inputs!$B$15,A126),0),0)</f>
        <v>0</v>
      </c>
      <c r="E126" s="29">
        <f t="shared" si="3"/>
        <v>0</v>
      </c>
      <c r="F126" s="30">
        <f t="shared" si="4"/>
        <v>0</v>
      </c>
      <c r="G126" s="28">
        <f t="shared" si="5"/>
        <v>0</v>
      </c>
    </row>
    <row r="127" spans="1:7">
      <c r="A127" s="27">
        <v>122</v>
      </c>
      <c r="B127" s="28">
        <f>IF(A127&lt;=Analysis!$B$12,A127/Inputs!$B$15,0)</f>
        <v>0</v>
      </c>
      <c r="C127" s="29">
        <f>IF(A127&lt;=Analysis!$B$12,Analysis!$B$11+IF(A127=Analysis!$B$12,Analysis!$B$4,0),0)</f>
        <v>0</v>
      </c>
      <c r="D127" s="29">
        <f>IFERROR(IF(A127&lt;=Analysis!$B$12,1/POWER(1+Analysis!$B$18/Inputs!$B$15,A127),0),0)</f>
        <v>0</v>
      </c>
      <c r="E127" s="29">
        <f t="shared" si="3"/>
        <v>0</v>
      </c>
      <c r="F127" s="30">
        <f t="shared" si="4"/>
        <v>0</v>
      </c>
      <c r="G127" s="28">
        <f t="shared" si="5"/>
        <v>0</v>
      </c>
    </row>
    <row r="128" spans="1:7">
      <c r="A128" s="27">
        <v>123</v>
      </c>
      <c r="B128" s="28">
        <f>IF(A128&lt;=Analysis!$B$12,A128/Inputs!$B$15,0)</f>
        <v>0</v>
      </c>
      <c r="C128" s="29">
        <f>IF(A128&lt;=Analysis!$B$12,Analysis!$B$11+IF(A128=Analysis!$B$12,Analysis!$B$4,0),0)</f>
        <v>0</v>
      </c>
      <c r="D128" s="29">
        <f>IFERROR(IF(A128&lt;=Analysis!$B$12,1/POWER(1+Analysis!$B$18/Inputs!$B$15,A128),0),0)</f>
        <v>0</v>
      </c>
      <c r="E128" s="29">
        <f t="shared" si="3"/>
        <v>0</v>
      </c>
      <c r="F128" s="30">
        <f t="shared" si="4"/>
        <v>0</v>
      </c>
      <c r="G128" s="28">
        <f t="shared" si="5"/>
        <v>0</v>
      </c>
    </row>
    <row r="129" spans="1:7">
      <c r="A129" s="27">
        <v>124</v>
      </c>
      <c r="B129" s="28">
        <f>IF(A129&lt;=Analysis!$B$12,A129/Inputs!$B$15,0)</f>
        <v>0</v>
      </c>
      <c r="C129" s="29">
        <f>IF(A129&lt;=Analysis!$B$12,Analysis!$B$11+IF(A129=Analysis!$B$12,Analysis!$B$4,0),0)</f>
        <v>0</v>
      </c>
      <c r="D129" s="29">
        <f>IFERROR(IF(A129&lt;=Analysis!$B$12,1/POWER(1+Analysis!$B$18/Inputs!$B$15,A129),0),0)</f>
        <v>0</v>
      </c>
      <c r="E129" s="29">
        <f t="shared" si="3"/>
        <v>0</v>
      </c>
      <c r="F129" s="30">
        <f t="shared" si="4"/>
        <v>0</v>
      </c>
      <c r="G129" s="28">
        <f t="shared" si="5"/>
        <v>0</v>
      </c>
    </row>
    <row r="130" spans="1:7">
      <c r="A130" s="27">
        <v>125</v>
      </c>
      <c r="B130" s="28">
        <f>IF(A130&lt;=Analysis!$B$12,A130/Inputs!$B$15,0)</f>
        <v>0</v>
      </c>
      <c r="C130" s="29">
        <f>IF(A130&lt;=Analysis!$B$12,Analysis!$B$11+IF(A130=Analysis!$B$12,Analysis!$B$4,0),0)</f>
        <v>0</v>
      </c>
      <c r="D130" s="29">
        <f>IFERROR(IF(A130&lt;=Analysis!$B$12,1/POWER(1+Analysis!$B$18/Inputs!$B$15,A130),0),0)</f>
        <v>0</v>
      </c>
      <c r="E130" s="29">
        <f t="shared" si="3"/>
        <v>0</v>
      </c>
      <c r="F130" s="30">
        <f t="shared" si="4"/>
        <v>0</v>
      </c>
      <c r="G130" s="28">
        <f t="shared" si="5"/>
        <v>0</v>
      </c>
    </row>
    <row r="131" spans="1:7">
      <c r="A131" s="27">
        <v>126</v>
      </c>
      <c r="B131" s="28">
        <f>IF(A131&lt;=Analysis!$B$12,A131/Inputs!$B$15,0)</f>
        <v>0</v>
      </c>
      <c r="C131" s="29">
        <f>IF(A131&lt;=Analysis!$B$12,Analysis!$B$11+IF(A131=Analysis!$B$12,Analysis!$B$4,0),0)</f>
        <v>0</v>
      </c>
      <c r="D131" s="29">
        <f>IFERROR(IF(A131&lt;=Analysis!$B$12,1/POWER(1+Analysis!$B$18/Inputs!$B$15,A131),0),0)</f>
        <v>0</v>
      </c>
      <c r="E131" s="29">
        <f t="shared" si="3"/>
        <v>0</v>
      </c>
      <c r="F131" s="30">
        <f t="shared" si="4"/>
        <v>0</v>
      </c>
      <c r="G131" s="28">
        <f t="shared" si="5"/>
        <v>0</v>
      </c>
    </row>
    <row r="132" spans="1:7">
      <c r="A132" s="27">
        <v>127</v>
      </c>
      <c r="B132" s="28">
        <f>IF(A132&lt;=Analysis!$B$12,A132/Inputs!$B$15,0)</f>
        <v>0</v>
      </c>
      <c r="C132" s="29">
        <f>IF(A132&lt;=Analysis!$B$12,Analysis!$B$11+IF(A132=Analysis!$B$12,Analysis!$B$4,0),0)</f>
        <v>0</v>
      </c>
      <c r="D132" s="29">
        <f>IFERROR(IF(A132&lt;=Analysis!$B$12,1/POWER(1+Analysis!$B$18/Inputs!$B$15,A132),0),0)</f>
        <v>0</v>
      </c>
      <c r="E132" s="29">
        <f t="shared" si="3"/>
        <v>0</v>
      </c>
      <c r="F132" s="30">
        <f t="shared" si="4"/>
        <v>0</v>
      </c>
      <c r="G132" s="28">
        <f t="shared" si="5"/>
        <v>0</v>
      </c>
    </row>
    <row r="133" spans="1:7">
      <c r="A133" s="27">
        <v>128</v>
      </c>
      <c r="B133" s="28">
        <f>IF(A133&lt;=Analysis!$B$12,A133/Inputs!$B$15,0)</f>
        <v>0</v>
      </c>
      <c r="C133" s="29">
        <f>IF(A133&lt;=Analysis!$B$12,Analysis!$B$11+IF(A133=Analysis!$B$12,Analysis!$B$4,0),0)</f>
        <v>0</v>
      </c>
      <c r="D133" s="29">
        <f>IFERROR(IF(A133&lt;=Analysis!$B$12,1/POWER(1+Analysis!$B$18/Inputs!$B$15,A133),0),0)</f>
        <v>0</v>
      </c>
      <c r="E133" s="29">
        <f t="shared" si="3"/>
        <v>0</v>
      </c>
      <c r="F133" s="30">
        <f t="shared" si="4"/>
        <v>0</v>
      </c>
      <c r="G133" s="28">
        <f t="shared" si="5"/>
        <v>0</v>
      </c>
    </row>
    <row r="134" spans="1:7">
      <c r="A134" s="27">
        <v>129</v>
      </c>
      <c r="B134" s="28">
        <f>IF(A134&lt;=Analysis!$B$12,A134/Inputs!$B$15,0)</f>
        <v>0</v>
      </c>
      <c r="C134" s="29">
        <f>IF(A134&lt;=Analysis!$B$12,Analysis!$B$11+IF(A134=Analysis!$B$12,Analysis!$B$4,0),0)</f>
        <v>0</v>
      </c>
      <c r="D134" s="29">
        <f>IFERROR(IF(A134&lt;=Analysis!$B$12,1/POWER(1+Analysis!$B$18/Inputs!$B$15,A134),0),0)</f>
        <v>0</v>
      </c>
      <c r="E134" s="29">
        <f t="shared" ref="E134:E197" si="6">C134*D134</f>
        <v>0</v>
      </c>
      <c r="F134" s="30">
        <f t="shared" ref="F134:F197" si="7">IFERROR(E134/SUM($E$6:$E$605),0)</f>
        <v>0</v>
      </c>
      <c r="G134" s="28">
        <f t="shared" ref="G134:G197" si="8">B134*F134</f>
        <v>0</v>
      </c>
    </row>
    <row r="135" spans="1:7">
      <c r="A135" s="27">
        <v>130</v>
      </c>
      <c r="B135" s="28">
        <f>IF(A135&lt;=Analysis!$B$12,A135/Inputs!$B$15,0)</f>
        <v>0</v>
      </c>
      <c r="C135" s="29">
        <f>IF(A135&lt;=Analysis!$B$12,Analysis!$B$11+IF(A135=Analysis!$B$12,Analysis!$B$4,0),0)</f>
        <v>0</v>
      </c>
      <c r="D135" s="29">
        <f>IFERROR(IF(A135&lt;=Analysis!$B$12,1/POWER(1+Analysis!$B$18/Inputs!$B$15,A135),0),0)</f>
        <v>0</v>
      </c>
      <c r="E135" s="29">
        <f t="shared" si="6"/>
        <v>0</v>
      </c>
      <c r="F135" s="30">
        <f t="shared" si="7"/>
        <v>0</v>
      </c>
      <c r="G135" s="28">
        <f t="shared" si="8"/>
        <v>0</v>
      </c>
    </row>
    <row r="136" spans="1:7">
      <c r="A136" s="27">
        <v>131</v>
      </c>
      <c r="B136" s="28">
        <f>IF(A136&lt;=Analysis!$B$12,A136/Inputs!$B$15,0)</f>
        <v>0</v>
      </c>
      <c r="C136" s="29">
        <f>IF(A136&lt;=Analysis!$B$12,Analysis!$B$11+IF(A136=Analysis!$B$12,Analysis!$B$4,0),0)</f>
        <v>0</v>
      </c>
      <c r="D136" s="29">
        <f>IFERROR(IF(A136&lt;=Analysis!$B$12,1/POWER(1+Analysis!$B$18/Inputs!$B$15,A136),0),0)</f>
        <v>0</v>
      </c>
      <c r="E136" s="29">
        <f t="shared" si="6"/>
        <v>0</v>
      </c>
      <c r="F136" s="30">
        <f t="shared" si="7"/>
        <v>0</v>
      </c>
      <c r="G136" s="28">
        <f t="shared" si="8"/>
        <v>0</v>
      </c>
    </row>
    <row r="137" spans="1:7">
      <c r="A137" s="27">
        <v>132</v>
      </c>
      <c r="B137" s="28">
        <f>IF(A137&lt;=Analysis!$B$12,A137/Inputs!$B$15,0)</f>
        <v>0</v>
      </c>
      <c r="C137" s="29">
        <f>IF(A137&lt;=Analysis!$B$12,Analysis!$B$11+IF(A137=Analysis!$B$12,Analysis!$B$4,0),0)</f>
        <v>0</v>
      </c>
      <c r="D137" s="29">
        <f>IFERROR(IF(A137&lt;=Analysis!$B$12,1/POWER(1+Analysis!$B$18/Inputs!$B$15,A137),0),0)</f>
        <v>0</v>
      </c>
      <c r="E137" s="29">
        <f t="shared" si="6"/>
        <v>0</v>
      </c>
      <c r="F137" s="30">
        <f t="shared" si="7"/>
        <v>0</v>
      </c>
      <c r="G137" s="28">
        <f t="shared" si="8"/>
        <v>0</v>
      </c>
    </row>
    <row r="138" spans="1:7">
      <c r="A138" s="27">
        <v>133</v>
      </c>
      <c r="B138" s="28">
        <f>IF(A138&lt;=Analysis!$B$12,A138/Inputs!$B$15,0)</f>
        <v>0</v>
      </c>
      <c r="C138" s="29">
        <f>IF(A138&lt;=Analysis!$B$12,Analysis!$B$11+IF(A138=Analysis!$B$12,Analysis!$B$4,0),0)</f>
        <v>0</v>
      </c>
      <c r="D138" s="29">
        <f>IFERROR(IF(A138&lt;=Analysis!$B$12,1/POWER(1+Analysis!$B$18/Inputs!$B$15,A138),0),0)</f>
        <v>0</v>
      </c>
      <c r="E138" s="29">
        <f t="shared" si="6"/>
        <v>0</v>
      </c>
      <c r="F138" s="30">
        <f t="shared" si="7"/>
        <v>0</v>
      </c>
      <c r="G138" s="28">
        <f t="shared" si="8"/>
        <v>0</v>
      </c>
    </row>
    <row r="139" spans="1:7">
      <c r="A139" s="27">
        <v>134</v>
      </c>
      <c r="B139" s="28">
        <f>IF(A139&lt;=Analysis!$B$12,A139/Inputs!$B$15,0)</f>
        <v>0</v>
      </c>
      <c r="C139" s="29">
        <f>IF(A139&lt;=Analysis!$B$12,Analysis!$B$11+IF(A139=Analysis!$B$12,Analysis!$B$4,0),0)</f>
        <v>0</v>
      </c>
      <c r="D139" s="29">
        <f>IFERROR(IF(A139&lt;=Analysis!$B$12,1/POWER(1+Analysis!$B$18/Inputs!$B$15,A139),0),0)</f>
        <v>0</v>
      </c>
      <c r="E139" s="29">
        <f t="shared" si="6"/>
        <v>0</v>
      </c>
      <c r="F139" s="30">
        <f t="shared" si="7"/>
        <v>0</v>
      </c>
      <c r="G139" s="28">
        <f t="shared" si="8"/>
        <v>0</v>
      </c>
    </row>
    <row r="140" spans="1:7">
      <c r="A140" s="27">
        <v>135</v>
      </c>
      <c r="B140" s="28">
        <f>IF(A140&lt;=Analysis!$B$12,A140/Inputs!$B$15,0)</f>
        <v>0</v>
      </c>
      <c r="C140" s="29">
        <f>IF(A140&lt;=Analysis!$B$12,Analysis!$B$11+IF(A140=Analysis!$B$12,Analysis!$B$4,0),0)</f>
        <v>0</v>
      </c>
      <c r="D140" s="29">
        <f>IFERROR(IF(A140&lt;=Analysis!$B$12,1/POWER(1+Analysis!$B$18/Inputs!$B$15,A140),0),0)</f>
        <v>0</v>
      </c>
      <c r="E140" s="29">
        <f t="shared" si="6"/>
        <v>0</v>
      </c>
      <c r="F140" s="30">
        <f t="shared" si="7"/>
        <v>0</v>
      </c>
      <c r="G140" s="28">
        <f t="shared" si="8"/>
        <v>0</v>
      </c>
    </row>
    <row r="141" spans="1:7">
      <c r="A141" s="27">
        <v>136</v>
      </c>
      <c r="B141" s="28">
        <f>IF(A141&lt;=Analysis!$B$12,A141/Inputs!$B$15,0)</f>
        <v>0</v>
      </c>
      <c r="C141" s="29">
        <f>IF(A141&lt;=Analysis!$B$12,Analysis!$B$11+IF(A141=Analysis!$B$12,Analysis!$B$4,0),0)</f>
        <v>0</v>
      </c>
      <c r="D141" s="29">
        <f>IFERROR(IF(A141&lt;=Analysis!$B$12,1/POWER(1+Analysis!$B$18/Inputs!$B$15,A141),0),0)</f>
        <v>0</v>
      </c>
      <c r="E141" s="29">
        <f t="shared" si="6"/>
        <v>0</v>
      </c>
      <c r="F141" s="30">
        <f t="shared" si="7"/>
        <v>0</v>
      </c>
      <c r="G141" s="28">
        <f t="shared" si="8"/>
        <v>0</v>
      </c>
    </row>
    <row r="142" spans="1:7">
      <c r="A142" s="27">
        <v>137</v>
      </c>
      <c r="B142" s="28">
        <f>IF(A142&lt;=Analysis!$B$12,A142/Inputs!$B$15,0)</f>
        <v>0</v>
      </c>
      <c r="C142" s="29">
        <f>IF(A142&lt;=Analysis!$B$12,Analysis!$B$11+IF(A142=Analysis!$B$12,Analysis!$B$4,0),0)</f>
        <v>0</v>
      </c>
      <c r="D142" s="29">
        <f>IFERROR(IF(A142&lt;=Analysis!$B$12,1/POWER(1+Analysis!$B$18/Inputs!$B$15,A142),0),0)</f>
        <v>0</v>
      </c>
      <c r="E142" s="29">
        <f t="shared" si="6"/>
        <v>0</v>
      </c>
      <c r="F142" s="30">
        <f t="shared" si="7"/>
        <v>0</v>
      </c>
      <c r="G142" s="28">
        <f t="shared" si="8"/>
        <v>0</v>
      </c>
    </row>
    <row r="143" spans="1:7">
      <c r="A143" s="27">
        <v>138</v>
      </c>
      <c r="B143" s="28">
        <f>IF(A143&lt;=Analysis!$B$12,A143/Inputs!$B$15,0)</f>
        <v>0</v>
      </c>
      <c r="C143" s="29">
        <f>IF(A143&lt;=Analysis!$B$12,Analysis!$B$11+IF(A143=Analysis!$B$12,Analysis!$B$4,0),0)</f>
        <v>0</v>
      </c>
      <c r="D143" s="29">
        <f>IFERROR(IF(A143&lt;=Analysis!$B$12,1/POWER(1+Analysis!$B$18/Inputs!$B$15,A143),0),0)</f>
        <v>0</v>
      </c>
      <c r="E143" s="29">
        <f t="shared" si="6"/>
        <v>0</v>
      </c>
      <c r="F143" s="30">
        <f t="shared" si="7"/>
        <v>0</v>
      </c>
      <c r="G143" s="28">
        <f t="shared" si="8"/>
        <v>0</v>
      </c>
    </row>
    <row r="144" spans="1:7">
      <c r="A144" s="27">
        <v>139</v>
      </c>
      <c r="B144" s="28">
        <f>IF(A144&lt;=Analysis!$B$12,A144/Inputs!$B$15,0)</f>
        <v>0</v>
      </c>
      <c r="C144" s="29">
        <f>IF(A144&lt;=Analysis!$B$12,Analysis!$B$11+IF(A144=Analysis!$B$12,Analysis!$B$4,0),0)</f>
        <v>0</v>
      </c>
      <c r="D144" s="29">
        <f>IFERROR(IF(A144&lt;=Analysis!$B$12,1/POWER(1+Analysis!$B$18/Inputs!$B$15,A144),0),0)</f>
        <v>0</v>
      </c>
      <c r="E144" s="29">
        <f t="shared" si="6"/>
        <v>0</v>
      </c>
      <c r="F144" s="30">
        <f t="shared" si="7"/>
        <v>0</v>
      </c>
      <c r="G144" s="28">
        <f t="shared" si="8"/>
        <v>0</v>
      </c>
    </row>
    <row r="145" spans="1:7">
      <c r="A145" s="27">
        <v>140</v>
      </c>
      <c r="B145" s="28">
        <f>IF(A145&lt;=Analysis!$B$12,A145/Inputs!$B$15,0)</f>
        <v>0</v>
      </c>
      <c r="C145" s="29">
        <f>IF(A145&lt;=Analysis!$B$12,Analysis!$B$11+IF(A145=Analysis!$B$12,Analysis!$B$4,0),0)</f>
        <v>0</v>
      </c>
      <c r="D145" s="29">
        <f>IFERROR(IF(A145&lt;=Analysis!$B$12,1/POWER(1+Analysis!$B$18/Inputs!$B$15,A145),0),0)</f>
        <v>0</v>
      </c>
      <c r="E145" s="29">
        <f t="shared" si="6"/>
        <v>0</v>
      </c>
      <c r="F145" s="30">
        <f t="shared" si="7"/>
        <v>0</v>
      </c>
      <c r="G145" s="28">
        <f t="shared" si="8"/>
        <v>0</v>
      </c>
    </row>
    <row r="146" spans="1:7">
      <c r="A146" s="27">
        <v>141</v>
      </c>
      <c r="B146" s="28">
        <f>IF(A146&lt;=Analysis!$B$12,A146/Inputs!$B$15,0)</f>
        <v>0</v>
      </c>
      <c r="C146" s="29">
        <f>IF(A146&lt;=Analysis!$B$12,Analysis!$B$11+IF(A146=Analysis!$B$12,Analysis!$B$4,0),0)</f>
        <v>0</v>
      </c>
      <c r="D146" s="29">
        <f>IFERROR(IF(A146&lt;=Analysis!$B$12,1/POWER(1+Analysis!$B$18/Inputs!$B$15,A146),0),0)</f>
        <v>0</v>
      </c>
      <c r="E146" s="29">
        <f t="shared" si="6"/>
        <v>0</v>
      </c>
      <c r="F146" s="30">
        <f t="shared" si="7"/>
        <v>0</v>
      </c>
      <c r="G146" s="28">
        <f t="shared" si="8"/>
        <v>0</v>
      </c>
    </row>
    <row r="147" spans="1:7">
      <c r="A147" s="27">
        <v>142</v>
      </c>
      <c r="B147" s="28">
        <f>IF(A147&lt;=Analysis!$B$12,A147/Inputs!$B$15,0)</f>
        <v>0</v>
      </c>
      <c r="C147" s="29">
        <f>IF(A147&lt;=Analysis!$B$12,Analysis!$B$11+IF(A147=Analysis!$B$12,Analysis!$B$4,0),0)</f>
        <v>0</v>
      </c>
      <c r="D147" s="29">
        <f>IFERROR(IF(A147&lt;=Analysis!$B$12,1/POWER(1+Analysis!$B$18/Inputs!$B$15,A147),0),0)</f>
        <v>0</v>
      </c>
      <c r="E147" s="29">
        <f t="shared" si="6"/>
        <v>0</v>
      </c>
      <c r="F147" s="30">
        <f t="shared" si="7"/>
        <v>0</v>
      </c>
      <c r="G147" s="28">
        <f t="shared" si="8"/>
        <v>0</v>
      </c>
    </row>
    <row r="148" spans="1:7">
      <c r="A148" s="27">
        <v>143</v>
      </c>
      <c r="B148" s="28">
        <f>IF(A148&lt;=Analysis!$B$12,A148/Inputs!$B$15,0)</f>
        <v>0</v>
      </c>
      <c r="C148" s="29">
        <f>IF(A148&lt;=Analysis!$B$12,Analysis!$B$11+IF(A148=Analysis!$B$12,Analysis!$B$4,0),0)</f>
        <v>0</v>
      </c>
      <c r="D148" s="29">
        <f>IFERROR(IF(A148&lt;=Analysis!$B$12,1/POWER(1+Analysis!$B$18/Inputs!$B$15,A148),0),0)</f>
        <v>0</v>
      </c>
      <c r="E148" s="29">
        <f t="shared" si="6"/>
        <v>0</v>
      </c>
      <c r="F148" s="30">
        <f t="shared" si="7"/>
        <v>0</v>
      </c>
      <c r="G148" s="28">
        <f t="shared" si="8"/>
        <v>0</v>
      </c>
    </row>
    <row r="149" spans="1:7">
      <c r="A149" s="27">
        <v>144</v>
      </c>
      <c r="B149" s="28">
        <f>IF(A149&lt;=Analysis!$B$12,A149/Inputs!$B$15,0)</f>
        <v>0</v>
      </c>
      <c r="C149" s="29">
        <f>IF(A149&lt;=Analysis!$B$12,Analysis!$B$11+IF(A149=Analysis!$B$12,Analysis!$B$4,0),0)</f>
        <v>0</v>
      </c>
      <c r="D149" s="29">
        <f>IFERROR(IF(A149&lt;=Analysis!$B$12,1/POWER(1+Analysis!$B$18/Inputs!$B$15,A149),0),0)</f>
        <v>0</v>
      </c>
      <c r="E149" s="29">
        <f t="shared" si="6"/>
        <v>0</v>
      </c>
      <c r="F149" s="30">
        <f t="shared" si="7"/>
        <v>0</v>
      </c>
      <c r="G149" s="28">
        <f t="shared" si="8"/>
        <v>0</v>
      </c>
    </row>
    <row r="150" spans="1:7">
      <c r="A150" s="27">
        <v>145</v>
      </c>
      <c r="B150" s="28">
        <f>IF(A150&lt;=Analysis!$B$12,A150/Inputs!$B$15,0)</f>
        <v>0</v>
      </c>
      <c r="C150" s="29">
        <f>IF(A150&lt;=Analysis!$B$12,Analysis!$B$11+IF(A150=Analysis!$B$12,Analysis!$B$4,0),0)</f>
        <v>0</v>
      </c>
      <c r="D150" s="29">
        <f>IFERROR(IF(A150&lt;=Analysis!$B$12,1/POWER(1+Analysis!$B$18/Inputs!$B$15,A150),0),0)</f>
        <v>0</v>
      </c>
      <c r="E150" s="29">
        <f t="shared" si="6"/>
        <v>0</v>
      </c>
      <c r="F150" s="30">
        <f t="shared" si="7"/>
        <v>0</v>
      </c>
      <c r="G150" s="28">
        <f t="shared" si="8"/>
        <v>0</v>
      </c>
    </row>
    <row r="151" spans="1:7">
      <c r="A151" s="27">
        <v>146</v>
      </c>
      <c r="B151" s="28">
        <f>IF(A151&lt;=Analysis!$B$12,A151/Inputs!$B$15,0)</f>
        <v>0</v>
      </c>
      <c r="C151" s="29">
        <f>IF(A151&lt;=Analysis!$B$12,Analysis!$B$11+IF(A151=Analysis!$B$12,Analysis!$B$4,0),0)</f>
        <v>0</v>
      </c>
      <c r="D151" s="29">
        <f>IFERROR(IF(A151&lt;=Analysis!$B$12,1/POWER(1+Analysis!$B$18/Inputs!$B$15,A151),0),0)</f>
        <v>0</v>
      </c>
      <c r="E151" s="29">
        <f t="shared" si="6"/>
        <v>0</v>
      </c>
      <c r="F151" s="30">
        <f t="shared" si="7"/>
        <v>0</v>
      </c>
      <c r="G151" s="28">
        <f t="shared" si="8"/>
        <v>0</v>
      </c>
    </row>
    <row r="152" spans="1:7">
      <c r="A152" s="27">
        <v>147</v>
      </c>
      <c r="B152" s="28">
        <f>IF(A152&lt;=Analysis!$B$12,A152/Inputs!$B$15,0)</f>
        <v>0</v>
      </c>
      <c r="C152" s="29">
        <f>IF(A152&lt;=Analysis!$B$12,Analysis!$B$11+IF(A152=Analysis!$B$12,Analysis!$B$4,0),0)</f>
        <v>0</v>
      </c>
      <c r="D152" s="29">
        <f>IFERROR(IF(A152&lt;=Analysis!$B$12,1/POWER(1+Analysis!$B$18/Inputs!$B$15,A152),0),0)</f>
        <v>0</v>
      </c>
      <c r="E152" s="29">
        <f t="shared" si="6"/>
        <v>0</v>
      </c>
      <c r="F152" s="30">
        <f t="shared" si="7"/>
        <v>0</v>
      </c>
      <c r="G152" s="28">
        <f t="shared" si="8"/>
        <v>0</v>
      </c>
    </row>
    <row r="153" spans="1:7">
      <c r="A153" s="27">
        <v>148</v>
      </c>
      <c r="B153" s="28">
        <f>IF(A153&lt;=Analysis!$B$12,A153/Inputs!$B$15,0)</f>
        <v>0</v>
      </c>
      <c r="C153" s="29">
        <f>IF(A153&lt;=Analysis!$B$12,Analysis!$B$11+IF(A153=Analysis!$B$12,Analysis!$B$4,0),0)</f>
        <v>0</v>
      </c>
      <c r="D153" s="29">
        <f>IFERROR(IF(A153&lt;=Analysis!$B$12,1/POWER(1+Analysis!$B$18/Inputs!$B$15,A153),0),0)</f>
        <v>0</v>
      </c>
      <c r="E153" s="29">
        <f t="shared" si="6"/>
        <v>0</v>
      </c>
      <c r="F153" s="30">
        <f t="shared" si="7"/>
        <v>0</v>
      </c>
      <c r="G153" s="28">
        <f t="shared" si="8"/>
        <v>0</v>
      </c>
    </row>
    <row r="154" spans="1:7">
      <c r="A154" s="27">
        <v>149</v>
      </c>
      <c r="B154" s="28">
        <f>IF(A154&lt;=Analysis!$B$12,A154/Inputs!$B$15,0)</f>
        <v>0</v>
      </c>
      <c r="C154" s="29">
        <f>IF(A154&lt;=Analysis!$B$12,Analysis!$B$11+IF(A154=Analysis!$B$12,Analysis!$B$4,0),0)</f>
        <v>0</v>
      </c>
      <c r="D154" s="29">
        <f>IFERROR(IF(A154&lt;=Analysis!$B$12,1/POWER(1+Analysis!$B$18/Inputs!$B$15,A154),0),0)</f>
        <v>0</v>
      </c>
      <c r="E154" s="29">
        <f t="shared" si="6"/>
        <v>0</v>
      </c>
      <c r="F154" s="30">
        <f t="shared" si="7"/>
        <v>0</v>
      </c>
      <c r="G154" s="28">
        <f t="shared" si="8"/>
        <v>0</v>
      </c>
    </row>
    <row r="155" spans="1:7">
      <c r="A155" s="27">
        <v>150</v>
      </c>
      <c r="B155" s="28">
        <f>IF(A155&lt;=Analysis!$B$12,A155/Inputs!$B$15,0)</f>
        <v>0</v>
      </c>
      <c r="C155" s="29">
        <f>IF(A155&lt;=Analysis!$B$12,Analysis!$B$11+IF(A155=Analysis!$B$12,Analysis!$B$4,0),0)</f>
        <v>0</v>
      </c>
      <c r="D155" s="29">
        <f>IFERROR(IF(A155&lt;=Analysis!$B$12,1/POWER(1+Analysis!$B$18/Inputs!$B$15,A155),0),0)</f>
        <v>0</v>
      </c>
      <c r="E155" s="29">
        <f t="shared" si="6"/>
        <v>0</v>
      </c>
      <c r="F155" s="30">
        <f t="shared" si="7"/>
        <v>0</v>
      </c>
      <c r="G155" s="28">
        <f t="shared" si="8"/>
        <v>0</v>
      </c>
    </row>
    <row r="156" spans="1:7">
      <c r="A156" s="27">
        <v>151</v>
      </c>
      <c r="B156" s="28">
        <f>IF(A156&lt;=Analysis!$B$12,A156/Inputs!$B$15,0)</f>
        <v>0</v>
      </c>
      <c r="C156" s="29">
        <f>IF(A156&lt;=Analysis!$B$12,Analysis!$B$11+IF(A156=Analysis!$B$12,Analysis!$B$4,0),0)</f>
        <v>0</v>
      </c>
      <c r="D156" s="29">
        <f>IFERROR(IF(A156&lt;=Analysis!$B$12,1/POWER(1+Analysis!$B$18/Inputs!$B$15,A156),0),0)</f>
        <v>0</v>
      </c>
      <c r="E156" s="29">
        <f t="shared" si="6"/>
        <v>0</v>
      </c>
      <c r="F156" s="30">
        <f t="shared" si="7"/>
        <v>0</v>
      </c>
      <c r="G156" s="28">
        <f t="shared" si="8"/>
        <v>0</v>
      </c>
    </row>
    <row r="157" spans="1:7">
      <c r="A157" s="27">
        <v>152</v>
      </c>
      <c r="B157" s="28">
        <f>IF(A157&lt;=Analysis!$B$12,A157/Inputs!$B$15,0)</f>
        <v>0</v>
      </c>
      <c r="C157" s="29">
        <f>IF(A157&lt;=Analysis!$B$12,Analysis!$B$11+IF(A157=Analysis!$B$12,Analysis!$B$4,0),0)</f>
        <v>0</v>
      </c>
      <c r="D157" s="29">
        <f>IFERROR(IF(A157&lt;=Analysis!$B$12,1/POWER(1+Analysis!$B$18/Inputs!$B$15,A157),0),0)</f>
        <v>0</v>
      </c>
      <c r="E157" s="29">
        <f t="shared" si="6"/>
        <v>0</v>
      </c>
      <c r="F157" s="30">
        <f t="shared" si="7"/>
        <v>0</v>
      </c>
      <c r="G157" s="28">
        <f t="shared" si="8"/>
        <v>0</v>
      </c>
    </row>
    <row r="158" spans="1:7">
      <c r="A158" s="27">
        <v>153</v>
      </c>
      <c r="B158" s="28">
        <f>IF(A158&lt;=Analysis!$B$12,A158/Inputs!$B$15,0)</f>
        <v>0</v>
      </c>
      <c r="C158" s="29">
        <f>IF(A158&lt;=Analysis!$B$12,Analysis!$B$11+IF(A158=Analysis!$B$12,Analysis!$B$4,0),0)</f>
        <v>0</v>
      </c>
      <c r="D158" s="29">
        <f>IFERROR(IF(A158&lt;=Analysis!$B$12,1/POWER(1+Analysis!$B$18/Inputs!$B$15,A158),0),0)</f>
        <v>0</v>
      </c>
      <c r="E158" s="29">
        <f t="shared" si="6"/>
        <v>0</v>
      </c>
      <c r="F158" s="30">
        <f t="shared" si="7"/>
        <v>0</v>
      </c>
      <c r="G158" s="28">
        <f t="shared" si="8"/>
        <v>0</v>
      </c>
    </row>
    <row r="159" spans="1:7">
      <c r="A159" s="27">
        <v>154</v>
      </c>
      <c r="B159" s="28">
        <f>IF(A159&lt;=Analysis!$B$12,A159/Inputs!$B$15,0)</f>
        <v>0</v>
      </c>
      <c r="C159" s="29">
        <f>IF(A159&lt;=Analysis!$B$12,Analysis!$B$11+IF(A159=Analysis!$B$12,Analysis!$B$4,0),0)</f>
        <v>0</v>
      </c>
      <c r="D159" s="29">
        <f>IFERROR(IF(A159&lt;=Analysis!$B$12,1/POWER(1+Analysis!$B$18/Inputs!$B$15,A159),0),0)</f>
        <v>0</v>
      </c>
      <c r="E159" s="29">
        <f t="shared" si="6"/>
        <v>0</v>
      </c>
      <c r="F159" s="30">
        <f t="shared" si="7"/>
        <v>0</v>
      </c>
      <c r="G159" s="28">
        <f t="shared" si="8"/>
        <v>0</v>
      </c>
    </row>
    <row r="160" spans="1:7">
      <c r="A160" s="27">
        <v>155</v>
      </c>
      <c r="B160" s="28">
        <f>IF(A160&lt;=Analysis!$B$12,A160/Inputs!$B$15,0)</f>
        <v>0</v>
      </c>
      <c r="C160" s="29">
        <f>IF(A160&lt;=Analysis!$B$12,Analysis!$B$11+IF(A160=Analysis!$B$12,Analysis!$B$4,0),0)</f>
        <v>0</v>
      </c>
      <c r="D160" s="29">
        <f>IFERROR(IF(A160&lt;=Analysis!$B$12,1/POWER(1+Analysis!$B$18/Inputs!$B$15,A160),0),0)</f>
        <v>0</v>
      </c>
      <c r="E160" s="29">
        <f t="shared" si="6"/>
        <v>0</v>
      </c>
      <c r="F160" s="30">
        <f t="shared" si="7"/>
        <v>0</v>
      </c>
      <c r="G160" s="28">
        <f t="shared" si="8"/>
        <v>0</v>
      </c>
    </row>
    <row r="161" spans="1:7">
      <c r="A161" s="27">
        <v>156</v>
      </c>
      <c r="B161" s="28">
        <f>IF(A161&lt;=Analysis!$B$12,A161/Inputs!$B$15,0)</f>
        <v>0</v>
      </c>
      <c r="C161" s="29">
        <f>IF(A161&lt;=Analysis!$B$12,Analysis!$B$11+IF(A161=Analysis!$B$12,Analysis!$B$4,0),0)</f>
        <v>0</v>
      </c>
      <c r="D161" s="29">
        <f>IFERROR(IF(A161&lt;=Analysis!$B$12,1/POWER(1+Analysis!$B$18/Inputs!$B$15,A161),0),0)</f>
        <v>0</v>
      </c>
      <c r="E161" s="29">
        <f t="shared" si="6"/>
        <v>0</v>
      </c>
      <c r="F161" s="30">
        <f t="shared" si="7"/>
        <v>0</v>
      </c>
      <c r="G161" s="28">
        <f t="shared" si="8"/>
        <v>0</v>
      </c>
    </row>
    <row r="162" spans="1:7">
      <c r="A162" s="27">
        <v>157</v>
      </c>
      <c r="B162" s="28">
        <f>IF(A162&lt;=Analysis!$B$12,A162/Inputs!$B$15,0)</f>
        <v>0</v>
      </c>
      <c r="C162" s="29">
        <f>IF(A162&lt;=Analysis!$B$12,Analysis!$B$11+IF(A162=Analysis!$B$12,Analysis!$B$4,0),0)</f>
        <v>0</v>
      </c>
      <c r="D162" s="29">
        <f>IFERROR(IF(A162&lt;=Analysis!$B$12,1/POWER(1+Analysis!$B$18/Inputs!$B$15,A162),0),0)</f>
        <v>0</v>
      </c>
      <c r="E162" s="29">
        <f t="shared" si="6"/>
        <v>0</v>
      </c>
      <c r="F162" s="30">
        <f t="shared" si="7"/>
        <v>0</v>
      </c>
      <c r="G162" s="28">
        <f t="shared" si="8"/>
        <v>0</v>
      </c>
    </row>
    <row r="163" spans="1:7">
      <c r="A163" s="27">
        <v>158</v>
      </c>
      <c r="B163" s="28">
        <f>IF(A163&lt;=Analysis!$B$12,A163/Inputs!$B$15,0)</f>
        <v>0</v>
      </c>
      <c r="C163" s="29">
        <f>IF(A163&lt;=Analysis!$B$12,Analysis!$B$11+IF(A163=Analysis!$B$12,Analysis!$B$4,0),0)</f>
        <v>0</v>
      </c>
      <c r="D163" s="29">
        <f>IFERROR(IF(A163&lt;=Analysis!$B$12,1/POWER(1+Analysis!$B$18/Inputs!$B$15,A163),0),0)</f>
        <v>0</v>
      </c>
      <c r="E163" s="29">
        <f t="shared" si="6"/>
        <v>0</v>
      </c>
      <c r="F163" s="30">
        <f t="shared" si="7"/>
        <v>0</v>
      </c>
      <c r="G163" s="28">
        <f t="shared" si="8"/>
        <v>0</v>
      </c>
    </row>
    <row r="164" spans="1:7">
      <c r="A164" s="27">
        <v>159</v>
      </c>
      <c r="B164" s="28">
        <f>IF(A164&lt;=Analysis!$B$12,A164/Inputs!$B$15,0)</f>
        <v>0</v>
      </c>
      <c r="C164" s="29">
        <f>IF(A164&lt;=Analysis!$B$12,Analysis!$B$11+IF(A164=Analysis!$B$12,Analysis!$B$4,0),0)</f>
        <v>0</v>
      </c>
      <c r="D164" s="29">
        <f>IFERROR(IF(A164&lt;=Analysis!$B$12,1/POWER(1+Analysis!$B$18/Inputs!$B$15,A164),0),0)</f>
        <v>0</v>
      </c>
      <c r="E164" s="29">
        <f t="shared" si="6"/>
        <v>0</v>
      </c>
      <c r="F164" s="30">
        <f t="shared" si="7"/>
        <v>0</v>
      </c>
      <c r="G164" s="28">
        <f t="shared" si="8"/>
        <v>0</v>
      </c>
    </row>
    <row r="165" spans="1:7">
      <c r="A165" s="27">
        <v>160</v>
      </c>
      <c r="B165" s="28">
        <f>IF(A165&lt;=Analysis!$B$12,A165/Inputs!$B$15,0)</f>
        <v>0</v>
      </c>
      <c r="C165" s="29">
        <f>IF(A165&lt;=Analysis!$B$12,Analysis!$B$11+IF(A165=Analysis!$B$12,Analysis!$B$4,0),0)</f>
        <v>0</v>
      </c>
      <c r="D165" s="29">
        <f>IFERROR(IF(A165&lt;=Analysis!$B$12,1/POWER(1+Analysis!$B$18/Inputs!$B$15,A165),0),0)</f>
        <v>0</v>
      </c>
      <c r="E165" s="29">
        <f t="shared" si="6"/>
        <v>0</v>
      </c>
      <c r="F165" s="30">
        <f t="shared" si="7"/>
        <v>0</v>
      </c>
      <c r="G165" s="28">
        <f t="shared" si="8"/>
        <v>0</v>
      </c>
    </row>
    <row r="166" spans="1:7">
      <c r="A166" s="27">
        <v>161</v>
      </c>
      <c r="B166" s="28">
        <f>IF(A166&lt;=Analysis!$B$12,A166/Inputs!$B$15,0)</f>
        <v>0</v>
      </c>
      <c r="C166" s="29">
        <f>IF(A166&lt;=Analysis!$B$12,Analysis!$B$11+IF(A166=Analysis!$B$12,Analysis!$B$4,0),0)</f>
        <v>0</v>
      </c>
      <c r="D166" s="29">
        <f>IFERROR(IF(A166&lt;=Analysis!$B$12,1/POWER(1+Analysis!$B$18/Inputs!$B$15,A166),0),0)</f>
        <v>0</v>
      </c>
      <c r="E166" s="29">
        <f t="shared" si="6"/>
        <v>0</v>
      </c>
      <c r="F166" s="30">
        <f t="shared" si="7"/>
        <v>0</v>
      </c>
      <c r="G166" s="28">
        <f t="shared" si="8"/>
        <v>0</v>
      </c>
    </row>
    <row r="167" spans="1:7">
      <c r="A167" s="27">
        <v>162</v>
      </c>
      <c r="B167" s="28">
        <f>IF(A167&lt;=Analysis!$B$12,A167/Inputs!$B$15,0)</f>
        <v>0</v>
      </c>
      <c r="C167" s="29">
        <f>IF(A167&lt;=Analysis!$B$12,Analysis!$B$11+IF(A167=Analysis!$B$12,Analysis!$B$4,0),0)</f>
        <v>0</v>
      </c>
      <c r="D167" s="29">
        <f>IFERROR(IF(A167&lt;=Analysis!$B$12,1/POWER(1+Analysis!$B$18/Inputs!$B$15,A167),0),0)</f>
        <v>0</v>
      </c>
      <c r="E167" s="29">
        <f t="shared" si="6"/>
        <v>0</v>
      </c>
      <c r="F167" s="30">
        <f t="shared" si="7"/>
        <v>0</v>
      </c>
      <c r="G167" s="28">
        <f t="shared" si="8"/>
        <v>0</v>
      </c>
    </row>
    <row r="168" spans="1:7">
      <c r="A168" s="27">
        <v>163</v>
      </c>
      <c r="B168" s="28">
        <f>IF(A168&lt;=Analysis!$B$12,A168/Inputs!$B$15,0)</f>
        <v>0</v>
      </c>
      <c r="C168" s="29">
        <f>IF(A168&lt;=Analysis!$B$12,Analysis!$B$11+IF(A168=Analysis!$B$12,Analysis!$B$4,0),0)</f>
        <v>0</v>
      </c>
      <c r="D168" s="29">
        <f>IFERROR(IF(A168&lt;=Analysis!$B$12,1/POWER(1+Analysis!$B$18/Inputs!$B$15,A168),0),0)</f>
        <v>0</v>
      </c>
      <c r="E168" s="29">
        <f t="shared" si="6"/>
        <v>0</v>
      </c>
      <c r="F168" s="30">
        <f t="shared" si="7"/>
        <v>0</v>
      </c>
      <c r="G168" s="28">
        <f t="shared" si="8"/>
        <v>0</v>
      </c>
    </row>
    <row r="169" spans="1:7">
      <c r="A169" s="27">
        <v>164</v>
      </c>
      <c r="B169" s="28">
        <f>IF(A169&lt;=Analysis!$B$12,A169/Inputs!$B$15,0)</f>
        <v>0</v>
      </c>
      <c r="C169" s="29">
        <f>IF(A169&lt;=Analysis!$B$12,Analysis!$B$11+IF(A169=Analysis!$B$12,Analysis!$B$4,0),0)</f>
        <v>0</v>
      </c>
      <c r="D169" s="29">
        <f>IFERROR(IF(A169&lt;=Analysis!$B$12,1/POWER(1+Analysis!$B$18/Inputs!$B$15,A169),0),0)</f>
        <v>0</v>
      </c>
      <c r="E169" s="29">
        <f t="shared" si="6"/>
        <v>0</v>
      </c>
      <c r="F169" s="30">
        <f t="shared" si="7"/>
        <v>0</v>
      </c>
      <c r="G169" s="28">
        <f t="shared" si="8"/>
        <v>0</v>
      </c>
    </row>
    <row r="170" spans="1:7">
      <c r="A170" s="27">
        <v>165</v>
      </c>
      <c r="B170" s="28">
        <f>IF(A170&lt;=Analysis!$B$12,A170/Inputs!$B$15,0)</f>
        <v>0</v>
      </c>
      <c r="C170" s="29">
        <f>IF(A170&lt;=Analysis!$B$12,Analysis!$B$11+IF(A170=Analysis!$B$12,Analysis!$B$4,0),0)</f>
        <v>0</v>
      </c>
      <c r="D170" s="29">
        <f>IFERROR(IF(A170&lt;=Analysis!$B$12,1/POWER(1+Analysis!$B$18/Inputs!$B$15,A170),0),0)</f>
        <v>0</v>
      </c>
      <c r="E170" s="29">
        <f t="shared" si="6"/>
        <v>0</v>
      </c>
      <c r="F170" s="30">
        <f t="shared" si="7"/>
        <v>0</v>
      </c>
      <c r="G170" s="28">
        <f t="shared" si="8"/>
        <v>0</v>
      </c>
    </row>
    <row r="171" spans="1:7">
      <c r="A171" s="27">
        <v>166</v>
      </c>
      <c r="B171" s="28">
        <f>IF(A171&lt;=Analysis!$B$12,A171/Inputs!$B$15,0)</f>
        <v>0</v>
      </c>
      <c r="C171" s="29">
        <f>IF(A171&lt;=Analysis!$B$12,Analysis!$B$11+IF(A171=Analysis!$B$12,Analysis!$B$4,0),0)</f>
        <v>0</v>
      </c>
      <c r="D171" s="29">
        <f>IFERROR(IF(A171&lt;=Analysis!$B$12,1/POWER(1+Analysis!$B$18/Inputs!$B$15,A171),0),0)</f>
        <v>0</v>
      </c>
      <c r="E171" s="29">
        <f t="shared" si="6"/>
        <v>0</v>
      </c>
      <c r="F171" s="30">
        <f t="shared" si="7"/>
        <v>0</v>
      </c>
      <c r="G171" s="28">
        <f t="shared" si="8"/>
        <v>0</v>
      </c>
    </row>
    <row r="172" spans="1:7">
      <c r="A172" s="27">
        <v>167</v>
      </c>
      <c r="B172" s="28">
        <f>IF(A172&lt;=Analysis!$B$12,A172/Inputs!$B$15,0)</f>
        <v>0</v>
      </c>
      <c r="C172" s="29">
        <f>IF(A172&lt;=Analysis!$B$12,Analysis!$B$11+IF(A172=Analysis!$B$12,Analysis!$B$4,0),0)</f>
        <v>0</v>
      </c>
      <c r="D172" s="29">
        <f>IFERROR(IF(A172&lt;=Analysis!$B$12,1/POWER(1+Analysis!$B$18/Inputs!$B$15,A172),0),0)</f>
        <v>0</v>
      </c>
      <c r="E172" s="29">
        <f t="shared" si="6"/>
        <v>0</v>
      </c>
      <c r="F172" s="30">
        <f t="shared" si="7"/>
        <v>0</v>
      </c>
      <c r="G172" s="28">
        <f t="shared" si="8"/>
        <v>0</v>
      </c>
    </row>
    <row r="173" spans="1:7">
      <c r="A173" s="27">
        <v>168</v>
      </c>
      <c r="B173" s="28">
        <f>IF(A173&lt;=Analysis!$B$12,A173/Inputs!$B$15,0)</f>
        <v>0</v>
      </c>
      <c r="C173" s="29">
        <f>IF(A173&lt;=Analysis!$B$12,Analysis!$B$11+IF(A173=Analysis!$B$12,Analysis!$B$4,0),0)</f>
        <v>0</v>
      </c>
      <c r="D173" s="29">
        <f>IFERROR(IF(A173&lt;=Analysis!$B$12,1/POWER(1+Analysis!$B$18/Inputs!$B$15,A173),0),0)</f>
        <v>0</v>
      </c>
      <c r="E173" s="29">
        <f t="shared" si="6"/>
        <v>0</v>
      </c>
      <c r="F173" s="30">
        <f t="shared" si="7"/>
        <v>0</v>
      </c>
      <c r="G173" s="28">
        <f t="shared" si="8"/>
        <v>0</v>
      </c>
    </row>
    <row r="174" spans="1:7">
      <c r="A174" s="27">
        <v>169</v>
      </c>
      <c r="B174" s="28">
        <f>IF(A174&lt;=Analysis!$B$12,A174/Inputs!$B$15,0)</f>
        <v>0</v>
      </c>
      <c r="C174" s="29">
        <f>IF(A174&lt;=Analysis!$B$12,Analysis!$B$11+IF(A174=Analysis!$B$12,Analysis!$B$4,0),0)</f>
        <v>0</v>
      </c>
      <c r="D174" s="29">
        <f>IFERROR(IF(A174&lt;=Analysis!$B$12,1/POWER(1+Analysis!$B$18/Inputs!$B$15,A174),0),0)</f>
        <v>0</v>
      </c>
      <c r="E174" s="29">
        <f t="shared" si="6"/>
        <v>0</v>
      </c>
      <c r="F174" s="30">
        <f t="shared" si="7"/>
        <v>0</v>
      </c>
      <c r="G174" s="28">
        <f t="shared" si="8"/>
        <v>0</v>
      </c>
    </row>
    <row r="175" spans="1:7">
      <c r="A175" s="27">
        <v>170</v>
      </c>
      <c r="B175" s="28">
        <f>IF(A175&lt;=Analysis!$B$12,A175/Inputs!$B$15,0)</f>
        <v>0</v>
      </c>
      <c r="C175" s="29">
        <f>IF(A175&lt;=Analysis!$B$12,Analysis!$B$11+IF(A175=Analysis!$B$12,Analysis!$B$4,0),0)</f>
        <v>0</v>
      </c>
      <c r="D175" s="29">
        <f>IFERROR(IF(A175&lt;=Analysis!$B$12,1/POWER(1+Analysis!$B$18/Inputs!$B$15,A175),0),0)</f>
        <v>0</v>
      </c>
      <c r="E175" s="29">
        <f t="shared" si="6"/>
        <v>0</v>
      </c>
      <c r="F175" s="30">
        <f t="shared" si="7"/>
        <v>0</v>
      </c>
      <c r="G175" s="28">
        <f t="shared" si="8"/>
        <v>0</v>
      </c>
    </row>
    <row r="176" spans="1:7">
      <c r="A176" s="27">
        <v>171</v>
      </c>
      <c r="B176" s="28">
        <f>IF(A176&lt;=Analysis!$B$12,A176/Inputs!$B$15,0)</f>
        <v>0</v>
      </c>
      <c r="C176" s="29">
        <f>IF(A176&lt;=Analysis!$B$12,Analysis!$B$11+IF(A176=Analysis!$B$12,Analysis!$B$4,0),0)</f>
        <v>0</v>
      </c>
      <c r="D176" s="29">
        <f>IFERROR(IF(A176&lt;=Analysis!$B$12,1/POWER(1+Analysis!$B$18/Inputs!$B$15,A176),0),0)</f>
        <v>0</v>
      </c>
      <c r="E176" s="29">
        <f t="shared" si="6"/>
        <v>0</v>
      </c>
      <c r="F176" s="30">
        <f t="shared" si="7"/>
        <v>0</v>
      </c>
      <c r="G176" s="28">
        <f t="shared" si="8"/>
        <v>0</v>
      </c>
    </row>
    <row r="177" spans="1:7">
      <c r="A177" s="27">
        <v>172</v>
      </c>
      <c r="B177" s="28">
        <f>IF(A177&lt;=Analysis!$B$12,A177/Inputs!$B$15,0)</f>
        <v>0</v>
      </c>
      <c r="C177" s="29">
        <f>IF(A177&lt;=Analysis!$B$12,Analysis!$B$11+IF(A177=Analysis!$B$12,Analysis!$B$4,0),0)</f>
        <v>0</v>
      </c>
      <c r="D177" s="29">
        <f>IFERROR(IF(A177&lt;=Analysis!$B$12,1/POWER(1+Analysis!$B$18/Inputs!$B$15,A177),0),0)</f>
        <v>0</v>
      </c>
      <c r="E177" s="29">
        <f t="shared" si="6"/>
        <v>0</v>
      </c>
      <c r="F177" s="30">
        <f t="shared" si="7"/>
        <v>0</v>
      </c>
      <c r="G177" s="28">
        <f t="shared" si="8"/>
        <v>0</v>
      </c>
    </row>
    <row r="178" spans="1:7">
      <c r="A178" s="27">
        <v>173</v>
      </c>
      <c r="B178" s="28">
        <f>IF(A178&lt;=Analysis!$B$12,A178/Inputs!$B$15,0)</f>
        <v>0</v>
      </c>
      <c r="C178" s="29">
        <f>IF(A178&lt;=Analysis!$B$12,Analysis!$B$11+IF(A178=Analysis!$B$12,Analysis!$B$4,0),0)</f>
        <v>0</v>
      </c>
      <c r="D178" s="29">
        <f>IFERROR(IF(A178&lt;=Analysis!$B$12,1/POWER(1+Analysis!$B$18/Inputs!$B$15,A178),0),0)</f>
        <v>0</v>
      </c>
      <c r="E178" s="29">
        <f t="shared" si="6"/>
        <v>0</v>
      </c>
      <c r="F178" s="30">
        <f t="shared" si="7"/>
        <v>0</v>
      </c>
      <c r="G178" s="28">
        <f t="shared" si="8"/>
        <v>0</v>
      </c>
    </row>
    <row r="179" spans="1:7">
      <c r="A179" s="27">
        <v>174</v>
      </c>
      <c r="B179" s="28">
        <f>IF(A179&lt;=Analysis!$B$12,A179/Inputs!$B$15,0)</f>
        <v>0</v>
      </c>
      <c r="C179" s="29">
        <f>IF(A179&lt;=Analysis!$B$12,Analysis!$B$11+IF(A179=Analysis!$B$12,Analysis!$B$4,0),0)</f>
        <v>0</v>
      </c>
      <c r="D179" s="29">
        <f>IFERROR(IF(A179&lt;=Analysis!$B$12,1/POWER(1+Analysis!$B$18/Inputs!$B$15,A179),0),0)</f>
        <v>0</v>
      </c>
      <c r="E179" s="29">
        <f t="shared" si="6"/>
        <v>0</v>
      </c>
      <c r="F179" s="30">
        <f t="shared" si="7"/>
        <v>0</v>
      </c>
      <c r="G179" s="28">
        <f t="shared" si="8"/>
        <v>0</v>
      </c>
    </row>
    <row r="180" spans="1:7">
      <c r="A180" s="27">
        <v>175</v>
      </c>
      <c r="B180" s="28">
        <f>IF(A180&lt;=Analysis!$B$12,A180/Inputs!$B$15,0)</f>
        <v>0</v>
      </c>
      <c r="C180" s="29">
        <f>IF(A180&lt;=Analysis!$B$12,Analysis!$B$11+IF(A180=Analysis!$B$12,Analysis!$B$4,0),0)</f>
        <v>0</v>
      </c>
      <c r="D180" s="29">
        <f>IFERROR(IF(A180&lt;=Analysis!$B$12,1/POWER(1+Analysis!$B$18/Inputs!$B$15,A180),0),0)</f>
        <v>0</v>
      </c>
      <c r="E180" s="29">
        <f t="shared" si="6"/>
        <v>0</v>
      </c>
      <c r="F180" s="30">
        <f t="shared" si="7"/>
        <v>0</v>
      </c>
      <c r="G180" s="28">
        <f t="shared" si="8"/>
        <v>0</v>
      </c>
    </row>
    <row r="181" spans="1:7">
      <c r="A181" s="27">
        <v>176</v>
      </c>
      <c r="B181" s="28">
        <f>IF(A181&lt;=Analysis!$B$12,A181/Inputs!$B$15,0)</f>
        <v>0</v>
      </c>
      <c r="C181" s="29">
        <f>IF(A181&lt;=Analysis!$B$12,Analysis!$B$11+IF(A181=Analysis!$B$12,Analysis!$B$4,0),0)</f>
        <v>0</v>
      </c>
      <c r="D181" s="29">
        <f>IFERROR(IF(A181&lt;=Analysis!$B$12,1/POWER(1+Analysis!$B$18/Inputs!$B$15,A181),0),0)</f>
        <v>0</v>
      </c>
      <c r="E181" s="29">
        <f t="shared" si="6"/>
        <v>0</v>
      </c>
      <c r="F181" s="30">
        <f t="shared" si="7"/>
        <v>0</v>
      </c>
      <c r="G181" s="28">
        <f t="shared" si="8"/>
        <v>0</v>
      </c>
    </row>
    <row r="182" spans="1:7">
      <c r="A182" s="27">
        <v>177</v>
      </c>
      <c r="B182" s="28">
        <f>IF(A182&lt;=Analysis!$B$12,A182/Inputs!$B$15,0)</f>
        <v>0</v>
      </c>
      <c r="C182" s="29">
        <f>IF(A182&lt;=Analysis!$B$12,Analysis!$B$11+IF(A182=Analysis!$B$12,Analysis!$B$4,0),0)</f>
        <v>0</v>
      </c>
      <c r="D182" s="29">
        <f>IFERROR(IF(A182&lt;=Analysis!$B$12,1/POWER(1+Analysis!$B$18/Inputs!$B$15,A182),0),0)</f>
        <v>0</v>
      </c>
      <c r="E182" s="29">
        <f t="shared" si="6"/>
        <v>0</v>
      </c>
      <c r="F182" s="30">
        <f t="shared" si="7"/>
        <v>0</v>
      </c>
      <c r="G182" s="28">
        <f t="shared" si="8"/>
        <v>0</v>
      </c>
    </row>
    <row r="183" spans="1:7">
      <c r="A183" s="27">
        <v>178</v>
      </c>
      <c r="B183" s="28">
        <f>IF(A183&lt;=Analysis!$B$12,A183/Inputs!$B$15,0)</f>
        <v>0</v>
      </c>
      <c r="C183" s="29">
        <f>IF(A183&lt;=Analysis!$B$12,Analysis!$B$11+IF(A183=Analysis!$B$12,Analysis!$B$4,0),0)</f>
        <v>0</v>
      </c>
      <c r="D183" s="29">
        <f>IFERROR(IF(A183&lt;=Analysis!$B$12,1/POWER(1+Analysis!$B$18/Inputs!$B$15,A183),0),0)</f>
        <v>0</v>
      </c>
      <c r="E183" s="29">
        <f t="shared" si="6"/>
        <v>0</v>
      </c>
      <c r="F183" s="30">
        <f t="shared" si="7"/>
        <v>0</v>
      </c>
      <c r="G183" s="28">
        <f t="shared" si="8"/>
        <v>0</v>
      </c>
    </row>
    <row r="184" spans="1:7">
      <c r="A184" s="27">
        <v>179</v>
      </c>
      <c r="B184" s="28">
        <f>IF(A184&lt;=Analysis!$B$12,A184/Inputs!$B$15,0)</f>
        <v>0</v>
      </c>
      <c r="C184" s="29">
        <f>IF(A184&lt;=Analysis!$B$12,Analysis!$B$11+IF(A184=Analysis!$B$12,Analysis!$B$4,0),0)</f>
        <v>0</v>
      </c>
      <c r="D184" s="29">
        <f>IFERROR(IF(A184&lt;=Analysis!$B$12,1/POWER(1+Analysis!$B$18/Inputs!$B$15,A184),0),0)</f>
        <v>0</v>
      </c>
      <c r="E184" s="29">
        <f t="shared" si="6"/>
        <v>0</v>
      </c>
      <c r="F184" s="30">
        <f t="shared" si="7"/>
        <v>0</v>
      </c>
      <c r="G184" s="28">
        <f t="shared" si="8"/>
        <v>0</v>
      </c>
    </row>
    <row r="185" spans="1:7">
      <c r="A185" s="27">
        <v>180</v>
      </c>
      <c r="B185" s="28">
        <f>IF(A185&lt;=Analysis!$B$12,A185/Inputs!$B$15,0)</f>
        <v>0</v>
      </c>
      <c r="C185" s="29">
        <f>IF(A185&lt;=Analysis!$B$12,Analysis!$B$11+IF(A185=Analysis!$B$12,Analysis!$B$4,0),0)</f>
        <v>0</v>
      </c>
      <c r="D185" s="29">
        <f>IFERROR(IF(A185&lt;=Analysis!$B$12,1/POWER(1+Analysis!$B$18/Inputs!$B$15,A185),0),0)</f>
        <v>0</v>
      </c>
      <c r="E185" s="29">
        <f t="shared" si="6"/>
        <v>0</v>
      </c>
      <c r="F185" s="30">
        <f t="shared" si="7"/>
        <v>0</v>
      </c>
      <c r="G185" s="28">
        <f t="shared" si="8"/>
        <v>0</v>
      </c>
    </row>
    <row r="186" spans="1:7">
      <c r="A186" s="27">
        <v>181</v>
      </c>
      <c r="B186" s="28">
        <f>IF(A186&lt;=Analysis!$B$12,A186/Inputs!$B$15,0)</f>
        <v>0</v>
      </c>
      <c r="C186" s="29">
        <f>IF(A186&lt;=Analysis!$B$12,Analysis!$B$11+IF(A186=Analysis!$B$12,Analysis!$B$4,0),0)</f>
        <v>0</v>
      </c>
      <c r="D186" s="29">
        <f>IFERROR(IF(A186&lt;=Analysis!$B$12,1/POWER(1+Analysis!$B$18/Inputs!$B$15,A186),0),0)</f>
        <v>0</v>
      </c>
      <c r="E186" s="29">
        <f t="shared" si="6"/>
        <v>0</v>
      </c>
      <c r="F186" s="30">
        <f t="shared" si="7"/>
        <v>0</v>
      </c>
      <c r="G186" s="28">
        <f t="shared" si="8"/>
        <v>0</v>
      </c>
    </row>
    <row r="187" spans="1:7">
      <c r="A187" s="27">
        <v>182</v>
      </c>
      <c r="B187" s="28">
        <f>IF(A187&lt;=Analysis!$B$12,A187/Inputs!$B$15,0)</f>
        <v>0</v>
      </c>
      <c r="C187" s="29">
        <f>IF(A187&lt;=Analysis!$B$12,Analysis!$B$11+IF(A187=Analysis!$B$12,Analysis!$B$4,0),0)</f>
        <v>0</v>
      </c>
      <c r="D187" s="29">
        <f>IFERROR(IF(A187&lt;=Analysis!$B$12,1/POWER(1+Analysis!$B$18/Inputs!$B$15,A187),0),0)</f>
        <v>0</v>
      </c>
      <c r="E187" s="29">
        <f t="shared" si="6"/>
        <v>0</v>
      </c>
      <c r="F187" s="30">
        <f t="shared" si="7"/>
        <v>0</v>
      </c>
      <c r="G187" s="28">
        <f t="shared" si="8"/>
        <v>0</v>
      </c>
    </row>
    <row r="188" spans="1:7">
      <c r="A188" s="27">
        <v>183</v>
      </c>
      <c r="B188" s="28">
        <f>IF(A188&lt;=Analysis!$B$12,A188/Inputs!$B$15,0)</f>
        <v>0</v>
      </c>
      <c r="C188" s="29">
        <f>IF(A188&lt;=Analysis!$B$12,Analysis!$B$11+IF(A188=Analysis!$B$12,Analysis!$B$4,0),0)</f>
        <v>0</v>
      </c>
      <c r="D188" s="29">
        <f>IFERROR(IF(A188&lt;=Analysis!$B$12,1/POWER(1+Analysis!$B$18/Inputs!$B$15,A188),0),0)</f>
        <v>0</v>
      </c>
      <c r="E188" s="29">
        <f t="shared" si="6"/>
        <v>0</v>
      </c>
      <c r="F188" s="30">
        <f t="shared" si="7"/>
        <v>0</v>
      </c>
      <c r="G188" s="28">
        <f t="shared" si="8"/>
        <v>0</v>
      </c>
    </row>
    <row r="189" spans="1:7">
      <c r="A189" s="27">
        <v>184</v>
      </c>
      <c r="B189" s="28">
        <f>IF(A189&lt;=Analysis!$B$12,A189/Inputs!$B$15,0)</f>
        <v>0</v>
      </c>
      <c r="C189" s="29">
        <f>IF(A189&lt;=Analysis!$B$12,Analysis!$B$11+IF(A189=Analysis!$B$12,Analysis!$B$4,0),0)</f>
        <v>0</v>
      </c>
      <c r="D189" s="29">
        <f>IFERROR(IF(A189&lt;=Analysis!$B$12,1/POWER(1+Analysis!$B$18/Inputs!$B$15,A189),0),0)</f>
        <v>0</v>
      </c>
      <c r="E189" s="29">
        <f t="shared" si="6"/>
        <v>0</v>
      </c>
      <c r="F189" s="30">
        <f t="shared" si="7"/>
        <v>0</v>
      </c>
      <c r="G189" s="28">
        <f t="shared" si="8"/>
        <v>0</v>
      </c>
    </row>
    <row r="190" spans="1:7">
      <c r="A190" s="27">
        <v>185</v>
      </c>
      <c r="B190" s="28">
        <f>IF(A190&lt;=Analysis!$B$12,A190/Inputs!$B$15,0)</f>
        <v>0</v>
      </c>
      <c r="C190" s="29">
        <f>IF(A190&lt;=Analysis!$B$12,Analysis!$B$11+IF(A190=Analysis!$B$12,Analysis!$B$4,0),0)</f>
        <v>0</v>
      </c>
      <c r="D190" s="29">
        <f>IFERROR(IF(A190&lt;=Analysis!$B$12,1/POWER(1+Analysis!$B$18/Inputs!$B$15,A190),0),0)</f>
        <v>0</v>
      </c>
      <c r="E190" s="29">
        <f t="shared" si="6"/>
        <v>0</v>
      </c>
      <c r="F190" s="30">
        <f t="shared" si="7"/>
        <v>0</v>
      </c>
      <c r="G190" s="28">
        <f t="shared" si="8"/>
        <v>0</v>
      </c>
    </row>
    <row r="191" spans="1:7">
      <c r="A191" s="27">
        <v>186</v>
      </c>
      <c r="B191" s="28">
        <f>IF(A191&lt;=Analysis!$B$12,A191/Inputs!$B$15,0)</f>
        <v>0</v>
      </c>
      <c r="C191" s="29">
        <f>IF(A191&lt;=Analysis!$B$12,Analysis!$B$11+IF(A191=Analysis!$B$12,Analysis!$B$4,0),0)</f>
        <v>0</v>
      </c>
      <c r="D191" s="29">
        <f>IFERROR(IF(A191&lt;=Analysis!$B$12,1/POWER(1+Analysis!$B$18/Inputs!$B$15,A191),0),0)</f>
        <v>0</v>
      </c>
      <c r="E191" s="29">
        <f t="shared" si="6"/>
        <v>0</v>
      </c>
      <c r="F191" s="30">
        <f t="shared" si="7"/>
        <v>0</v>
      </c>
      <c r="G191" s="28">
        <f t="shared" si="8"/>
        <v>0</v>
      </c>
    </row>
    <row r="192" spans="1:7">
      <c r="A192" s="27">
        <v>187</v>
      </c>
      <c r="B192" s="28">
        <f>IF(A192&lt;=Analysis!$B$12,A192/Inputs!$B$15,0)</f>
        <v>0</v>
      </c>
      <c r="C192" s="29">
        <f>IF(A192&lt;=Analysis!$B$12,Analysis!$B$11+IF(A192=Analysis!$B$12,Analysis!$B$4,0),0)</f>
        <v>0</v>
      </c>
      <c r="D192" s="29">
        <f>IFERROR(IF(A192&lt;=Analysis!$B$12,1/POWER(1+Analysis!$B$18/Inputs!$B$15,A192),0),0)</f>
        <v>0</v>
      </c>
      <c r="E192" s="29">
        <f t="shared" si="6"/>
        <v>0</v>
      </c>
      <c r="F192" s="30">
        <f t="shared" si="7"/>
        <v>0</v>
      </c>
      <c r="G192" s="28">
        <f t="shared" si="8"/>
        <v>0</v>
      </c>
    </row>
    <row r="193" spans="1:7">
      <c r="A193" s="27">
        <v>188</v>
      </c>
      <c r="B193" s="28">
        <f>IF(A193&lt;=Analysis!$B$12,A193/Inputs!$B$15,0)</f>
        <v>0</v>
      </c>
      <c r="C193" s="29">
        <f>IF(A193&lt;=Analysis!$B$12,Analysis!$B$11+IF(A193=Analysis!$B$12,Analysis!$B$4,0),0)</f>
        <v>0</v>
      </c>
      <c r="D193" s="29">
        <f>IFERROR(IF(A193&lt;=Analysis!$B$12,1/POWER(1+Analysis!$B$18/Inputs!$B$15,A193),0),0)</f>
        <v>0</v>
      </c>
      <c r="E193" s="29">
        <f t="shared" si="6"/>
        <v>0</v>
      </c>
      <c r="F193" s="30">
        <f t="shared" si="7"/>
        <v>0</v>
      </c>
      <c r="G193" s="28">
        <f t="shared" si="8"/>
        <v>0</v>
      </c>
    </row>
    <row r="194" spans="1:7">
      <c r="A194" s="27">
        <v>189</v>
      </c>
      <c r="B194" s="28">
        <f>IF(A194&lt;=Analysis!$B$12,A194/Inputs!$B$15,0)</f>
        <v>0</v>
      </c>
      <c r="C194" s="29">
        <f>IF(A194&lt;=Analysis!$B$12,Analysis!$B$11+IF(A194=Analysis!$B$12,Analysis!$B$4,0),0)</f>
        <v>0</v>
      </c>
      <c r="D194" s="29">
        <f>IFERROR(IF(A194&lt;=Analysis!$B$12,1/POWER(1+Analysis!$B$18/Inputs!$B$15,A194),0),0)</f>
        <v>0</v>
      </c>
      <c r="E194" s="29">
        <f t="shared" si="6"/>
        <v>0</v>
      </c>
      <c r="F194" s="30">
        <f t="shared" si="7"/>
        <v>0</v>
      </c>
      <c r="G194" s="28">
        <f t="shared" si="8"/>
        <v>0</v>
      </c>
    </row>
    <row r="195" spans="1:7">
      <c r="A195" s="27">
        <v>190</v>
      </c>
      <c r="B195" s="28">
        <f>IF(A195&lt;=Analysis!$B$12,A195/Inputs!$B$15,0)</f>
        <v>0</v>
      </c>
      <c r="C195" s="29">
        <f>IF(A195&lt;=Analysis!$B$12,Analysis!$B$11+IF(A195=Analysis!$B$12,Analysis!$B$4,0),0)</f>
        <v>0</v>
      </c>
      <c r="D195" s="29">
        <f>IFERROR(IF(A195&lt;=Analysis!$B$12,1/POWER(1+Analysis!$B$18/Inputs!$B$15,A195),0),0)</f>
        <v>0</v>
      </c>
      <c r="E195" s="29">
        <f t="shared" si="6"/>
        <v>0</v>
      </c>
      <c r="F195" s="30">
        <f t="shared" si="7"/>
        <v>0</v>
      </c>
      <c r="G195" s="28">
        <f t="shared" si="8"/>
        <v>0</v>
      </c>
    </row>
    <row r="196" spans="1:7">
      <c r="A196" s="27">
        <v>191</v>
      </c>
      <c r="B196" s="28">
        <f>IF(A196&lt;=Analysis!$B$12,A196/Inputs!$B$15,0)</f>
        <v>0</v>
      </c>
      <c r="C196" s="29">
        <f>IF(A196&lt;=Analysis!$B$12,Analysis!$B$11+IF(A196=Analysis!$B$12,Analysis!$B$4,0),0)</f>
        <v>0</v>
      </c>
      <c r="D196" s="29">
        <f>IFERROR(IF(A196&lt;=Analysis!$B$12,1/POWER(1+Analysis!$B$18/Inputs!$B$15,A196),0),0)</f>
        <v>0</v>
      </c>
      <c r="E196" s="29">
        <f t="shared" si="6"/>
        <v>0</v>
      </c>
      <c r="F196" s="30">
        <f t="shared" si="7"/>
        <v>0</v>
      </c>
      <c r="G196" s="28">
        <f t="shared" si="8"/>
        <v>0</v>
      </c>
    </row>
    <row r="197" spans="1:7">
      <c r="A197" s="27">
        <v>192</v>
      </c>
      <c r="B197" s="28">
        <f>IF(A197&lt;=Analysis!$B$12,A197/Inputs!$B$15,0)</f>
        <v>0</v>
      </c>
      <c r="C197" s="29">
        <f>IF(A197&lt;=Analysis!$B$12,Analysis!$B$11+IF(A197=Analysis!$B$12,Analysis!$B$4,0),0)</f>
        <v>0</v>
      </c>
      <c r="D197" s="29">
        <f>IFERROR(IF(A197&lt;=Analysis!$B$12,1/POWER(1+Analysis!$B$18/Inputs!$B$15,A197),0),0)</f>
        <v>0</v>
      </c>
      <c r="E197" s="29">
        <f t="shared" si="6"/>
        <v>0</v>
      </c>
      <c r="F197" s="30">
        <f t="shared" si="7"/>
        <v>0</v>
      </c>
      <c r="G197" s="28">
        <f t="shared" si="8"/>
        <v>0</v>
      </c>
    </row>
    <row r="198" spans="1:7">
      <c r="A198" s="27">
        <v>193</v>
      </c>
      <c r="B198" s="28">
        <f>IF(A198&lt;=Analysis!$B$12,A198/Inputs!$B$15,0)</f>
        <v>0</v>
      </c>
      <c r="C198" s="29">
        <f>IF(A198&lt;=Analysis!$B$12,Analysis!$B$11+IF(A198=Analysis!$B$12,Analysis!$B$4,0),0)</f>
        <v>0</v>
      </c>
      <c r="D198" s="29">
        <f>IFERROR(IF(A198&lt;=Analysis!$B$12,1/POWER(1+Analysis!$B$18/Inputs!$B$15,A198),0),0)</f>
        <v>0</v>
      </c>
      <c r="E198" s="29">
        <f t="shared" ref="E198:E261" si="9">C198*D198</f>
        <v>0</v>
      </c>
      <c r="F198" s="30">
        <f t="shared" ref="F198:F261" si="10">IFERROR(E198/SUM($E$6:$E$605),0)</f>
        <v>0</v>
      </c>
      <c r="G198" s="28">
        <f t="shared" ref="G198:G261" si="11">B198*F198</f>
        <v>0</v>
      </c>
    </row>
    <row r="199" spans="1:7">
      <c r="A199" s="27">
        <v>194</v>
      </c>
      <c r="B199" s="28">
        <f>IF(A199&lt;=Analysis!$B$12,A199/Inputs!$B$15,0)</f>
        <v>0</v>
      </c>
      <c r="C199" s="29">
        <f>IF(A199&lt;=Analysis!$B$12,Analysis!$B$11+IF(A199=Analysis!$B$12,Analysis!$B$4,0),0)</f>
        <v>0</v>
      </c>
      <c r="D199" s="29">
        <f>IFERROR(IF(A199&lt;=Analysis!$B$12,1/POWER(1+Analysis!$B$18/Inputs!$B$15,A199),0),0)</f>
        <v>0</v>
      </c>
      <c r="E199" s="29">
        <f t="shared" si="9"/>
        <v>0</v>
      </c>
      <c r="F199" s="30">
        <f t="shared" si="10"/>
        <v>0</v>
      </c>
      <c r="G199" s="28">
        <f t="shared" si="11"/>
        <v>0</v>
      </c>
    </row>
    <row r="200" spans="1:7">
      <c r="A200" s="27">
        <v>195</v>
      </c>
      <c r="B200" s="28">
        <f>IF(A200&lt;=Analysis!$B$12,A200/Inputs!$B$15,0)</f>
        <v>0</v>
      </c>
      <c r="C200" s="29">
        <f>IF(A200&lt;=Analysis!$B$12,Analysis!$B$11+IF(A200=Analysis!$B$12,Analysis!$B$4,0),0)</f>
        <v>0</v>
      </c>
      <c r="D200" s="29">
        <f>IFERROR(IF(A200&lt;=Analysis!$B$12,1/POWER(1+Analysis!$B$18/Inputs!$B$15,A200),0),0)</f>
        <v>0</v>
      </c>
      <c r="E200" s="29">
        <f t="shared" si="9"/>
        <v>0</v>
      </c>
      <c r="F200" s="30">
        <f t="shared" si="10"/>
        <v>0</v>
      </c>
      <c r="G200" s="28">
        <f t="shared" si="11"/>
        <v>0</v>
      </c>
    </row>
    <row r="201" spans="1:7">
      <c r="A201" s="27">
        <v>196</v>
      </c>
      <c r="B201" s="28">
        <f>IF(A201&lt;=Analysis!$B$12,A201/Inputs!$B$15,0)</f>
        <v>0</v>
      </c>
      <c r="C201" s="29">
        <f>IF(A201&lt;=Analysis!$B$12,Analysis!$B$11+IF(A201=Analysis!$B$12,Analysis!$B$4,0),0)</f>
        <v>0</v>
      </c>
      <c r="D201" s="29">
        <f>IFERROR(IF(A201&lt;=Analysis!$B$12,1/POWER(1+Analysis!$B$18/Inputs!$B$15,A201),0),0)</f>
        <v>0</v>
      </c>
      <c r="E201" s="29">
        <f t="shared" si="9"/>
        <v>0</v>
      </c>
      <c r="F201" s="30">
        <f t="shared" si="10"/>
        <v>0</v>
      </c>
      <c r="G201" s="28">
        <f t="shared" si="11"/>
        <v>0</v>
      </c>
    </row>
    <row r="202" spans="1:7">
      <c r="A202" s="27">
        <v>197</v>
      </c>
      <c r="B202" s="28">
        <f>IF(A202&lt;=Analysis!$B$12,A202/Inputs!$B$15,0)</f>
        <v>0</v>
      </c>
      <c r="C202" s="29">
        <f>IF(A202&lt;=Analysis!$B$12,Analysis!$B$11+IF(A202=Analysis!$B$12,Analysis!$B$4,0),0)</f>
        <v>0</v>
      </c>
      <c r="D202" s="29">
        <f>IFERROR(IF(A202&lt;=Analysis!$B$12,1/POWER(1+Analysis!$B$18/Inputs!$B$15,A202),0),0)</f>
        <v>0</v>
      </c>
      <c r="E202" s="29">
        <f t="shared" si="9"/>
        <v>0</v>
      </c>
      <c r="F202" s="30">
        <f t="shared" si="10"/>
        <v>0</v>
      </c>
      <c r="G202" s="28">
        <f t="shared" si="11"/>
        <v>0</v>
      </c>
    </row>
    <row r="203" spans="1:7">
      <c r="A203" s="27">
        <v>198</v>
      </c>
      <c r="B203" s="28">
        <f>IF(A203&lt;=Analysis!$B$12,A203/Inputs!$B$15,0)</f>
        <v>0</v>
      </c>
      <c r="C203" s="29">
        <f>IF(A203&lt;=Analysis!$B$12,Analysis!$B$11+IF(A203=Analysis!$B$12,Analysis!$B$4,0),0)</f>
        <v>0</v>
      </c>
      <c r="D203" s="29">
        <f>IFERROR(IF(A203&lt;=Analysis!$B$12,1/POWER(1+Analysis!$B$18/Inputs!$B$15,A203),0),0)</f>
        <v>0</v>
      </c>
      <c r="E203" s="29">
        <f t="shared" si="9"/>
        <v>0</v>
      </c>
      <c r="F203" s="30">
        <f t="shared" si="10"/>
        <v>0</v>
      </c>
      <c r="G203" s="28">
        <f t="shared" si="11"/>
        <v>0</v>
      </c>
    </row>
    <row r="204" spans="1:7">
      <c r="A204" s="27">
        <v>199</v>
      </c>
      <c r="B204" s="28">
        <f>IF(A204&lt;=Analysis!$B$12,A204/Inputs!$B$15,0)</f>
        <v>0</v>
      </c>
      <c r="C204" s="29">
        <f>IF(A204&lt;=Analysis!$B$12,Analysis!$B$11+IF(A204=Analysis!$B$12,Analysis!$B$4,0),0)</f>
        <v>0</v>
      </c>
      <c r="D204" s="29">
        <f>IFERROR(IF(A204&lt;=Analysis!$B$12,1/POWER(1+Analysis!$B$18/Inputs!$B$15,A204),0),0)</f>
        <v>0</v>
      </c>
      <c r="E204" s="29">
        <f t="shared" si="9"/>
        <v>0</v>
      </c>
      <c r="F204" s="30">
        <f t="shared" si="10"/>
        <v>0</v>
      </c>
      <c r="G204" s="28">
        <f t="shared" si="11"/>
        <v>0</v>
      </c>
    </row>
    <row r="205" spans="1:7">
      <c r="A205" s="27">
        <v>200</v>
      </c>
      <c r="B205" s="28">
        <f>IF(A205&lt;=Analysis!$B$12,A205/Inputs!$B$15,0)</f>
        <v>0</v>
      </c>
      <c r="C205" s="29">
        <f>IF(A205&lt;=Analysis!$B$12,Analysis!$B$11+IF(A205=Analysis!$B$12,Analysis!$B$4,0),0)</f>
        <v>0</v>
      </c>
      <c r="D205" s="29">
        <f>IFERROR(IF(A205&lt;=Analysis!$B$12,1/POWER(1+Analysis!$B$18/Inputs!$B$15,A205),0),0)</f>
        <v>0</v>
      </c>
      <c r="E205" s="29">
        <f t="shared" si="9"/>
        <v>0</v>
      </c>
      <c r="F205" s="30">
        <f t="shared" si="10"/>
        <v>0</v>
      </c>
      <c r="G205" s="28">
        <f t="shared" si="11"/>
        <v>0</v>
      </c>
    </row>
    <row r="206" spans="1:7">
      <c r="A206" s="27">
        <v>201</v>
      </c>
      <c r="B206" s="28">
        <f>IF(A206&lt;=Analysis!$B$12,A206/Inputs!$B$15,0)</f>
        <v>0</v>
      </c>
      <c r="C206" s="29">
        <f>IF(A206&lt;=Analysis!$B$12,Analysis!$B$11+IF(A206=Analysis!$B$12,Analysis!$B$4,0),0)</f>
        <v>0</v>
      </c>
      <c r="D206" s="29">
        <f>IFERROR(IF(A206&lt;=Analysis!$B$12,1/POWER(1+Analysis!$B$18/Inputs!$B$15,A206),0),0)</f>
        <v>0</v>
      </c>
      <c r="E206" s="29">
        <f t="shared" si="9"/>
        <v>0</v>
      </c>
      <c r="F206" s="30">
        <f t="shared" si="10"/>
        <v>0</v>
      </c>
      <c r="G206" s="28">
        <f t="shared" si="11"/>
        <v>0</v>
      </c>
    </row>
    <row r="207" spans="1:7">
      <c r="A207" s="27">
        <v>202</v>
      </c>
      <c r="B207" s="28">
        <f>IF(A207&lt;=Analysis!$B$12,A207/Inputs!$B$15,0)</f>
        <v>0</v>
      </c>
      <c r="C207" s="29">
        <f>IF(A207&lt;=Analysis!$B$12,Analysis!$B$11+IF(A207=Analysis!$B$12,Analysis!$B$4,0),0)</f>
        <v>0</v>
      </c>
      <c r="D207" s="29">
        <f>IFERROR(IF(A207&lt;=Analysis!$B$12,1/POWER(1+Analysis!$B$18/Inputs!$B$15,A207),0),0)</f>
        <v>0</v>
      </c>
      <c r="E207" s="29">
        <f t="shared" si="9"/>
        <v>0</v>
      </c>
      <c r="F207" s="30">
        <f t="shared" si="10"/>
        <v>0</v>
      </c>
      <c r="G207" s="28">
        <f t="shared" si="11"/>
        <v>0</v>
      </c>
    </row>
    <row r="208" spans="1:7">
      <c r="A208" s="27">
        <v>203</v>
      </c>
      <c r="B208" s="28">
        <f>IF(A208&lt;=Analysis!$B$12,A208/Inputs!$B$15,0)</f>
        <v>0</v>
      </c>
      <c r="C208" s="29">
        <f>IF(A208&lt;=Analysis!$B$12,Analysis!$B$11+IF(A208=Analysis!$B$12,Analysis!$B$4,0),0)</f>
        <v>0</v>
      </c>
      <c r="D208" s="29">
        <f>IFERROR(IF(A208&lt;=Analysis!$B$12,1/POWER(1+Analysis!$B$18/Inputs!$B$15,A208),0),0)</f>
        <v>0</v>
      </c>
      <c r="E208" s="29">
        <f t="shared" si="9"/>
        <v>0</v>
      </c>
      <c r="F208" s="30">
        <f t="shared" si="10"/>
        <v>0</v>
      </c>
      <c r="G208" s="28">
        <f t="shared" si="11"/>
        <v>0</v>
      </c>
    </row>
    <row r="209" spans="1:7">
      <c r="A209" s="27">
        <v>204</v>
      </c>
      <c r="B209" s="28">
        <f>IF(A209&lt;=Analysis!$B$12,A209/Inputs!$B$15,0)</f>
        <v>0</v>
      </c>
      <c r="C209" s="29">
        <f>IF(A209&lt;=Analysis!$B$12,Analysis!$B$11+IF(A209=Analysis!$B$12,Analysis!$B$4,0),0)</f>
        <v>0</v>
      </c>
      <c r="D209" s="29">
        <f>IFERROR(IF(A209&lt;=Analysis!$B$12,1/POWER(1+Analysis!$B$18/Inputs!$B$15,A209),0),0)</f>
        <v>0</v>
      </c>
      <c r="E209" s="29">
        <f t="shared" si="9"/>
        <v>0</v>
      </c>
      <c r="F209" s="30">
        <f t="shared" si="10"/>
        <v>0</v>
      </c>
      <c r="G209" s="28">
        <f t="shared" si="11"/>
        <v>0</v>
      </c>
    </row>
    <row r="210" spans="1:7">
      <c r="A210" s="27">
        <v>205</v>
      </c>
      <c r="B210" s="28">
        <f>IF(A210&lt;=Analysis!$B$12,A210/Inputs!$B$15,0)</f>
        <v>0</v>
      </c>
      <c r="C210" s="29">
        <f>IF(A210&lt;=Analysis!$B$12,Analysis!$B$11+IF(A210=Analysis!$B$12,Analysis!$B$4,0),0)</f>
        <v>0</v>
      </c>
      <c r="D210" s="29">
        <f>IFERROR(IF(A210&lt;=Analysis!$B$12,1/POWER(1+Analysis!$B$18/Inputs!$B$15,A210),0),0)</f>
        <v>0</v>
      </c>
      <c r="E210" s="29">
        <f t="shared" si="9"/>
        <v>0</v>
      </c>
      <c r="F210" s="30">
        <f t="shared" si="10"/>
        <v>0</v>
      </c>
      <c r="G210" s="28">
        <f t="shared" si="11"/>
        <v>0</v>
      </c>
    </row>
    <row r="211" spans="1:7">
      <c r="A211" s="27">
        <v>206</v>
      </c>
      <c r="B211" s="28">
        <f>IF(A211&lt;=Analysis!$B$12,A211/Inputs!$B$15,0)</f>
        <v>0</v>
      </c>
      <c r="C211" s="29">
        <f>IF(A211&lt;=Analysis!$B$12,Analysis!$B$11+IF(A211=Analysis!$B$12,Analysis!$B$4,0),0)</f>
        <v>0</v>
      </c>
      <c r="D211" s="29">
        <f>IFERROR(IF(A211&lt;=Analysis!$B$12,1/POWER(1+Analysis!$B$18/Inputs!$B$15,A211),0),0)</f>
        <v>0</v>
      </c>
      <c r="E211" s="29">
        <f t="shared" si="9"/>
        <v>0</v>
      </c>
      <c r="F211" s="30">
        <f t="shared" si="10"/>
        <v>0</v>
      </c>
      <c r="G211" s="28">
        <f t="shared" si="11"/>
        <v>0</v>
      </c>
    </row>
    <row r="212" spans="1:7">
      <c r="A212" s="27">
        <v>207</v>
      </c>
      <c r="B212" s="28">
        <f>IF(A212&lt;=Analysis!$B$12,A212/Inputs!$B$15,0)</f>
        <v>0</v>
      </c>
      <c r="C212" s="29">
        <f>IF(A212&lt;=Analysis!$B$12,Analysis!$B$11+IF(A212=Analysis!$B$12,Analysis!$B$4,0),0)</f>
        <v>0</v>
      </c>
      <c r="D212" s="29">
        <f>IFERROR(IF(A212&lt;=Analysis!$B$12,1/POWER(1+Analysis!$B$18/Inputs!$B$15,A212),0),0)</f>
        <v>0</v>
      </c>
      <c r="E212" s="29">
        <f t="shared" si="9"/>
        <v>0</v>
      </c>
      <c r="F212" s="30">
        <f t="shared" si="10"/>
        <v>0</v>
      </c>
      <c r="G212" s="28">
        <f t="shared" si="11"/>
        <v>0</v>
      </c>
    </row>
    <row r="213" spans="1:7">
      <c r="A213" s="27">
        <v>208</v>
      </c>
      <c r="B213" s="28">
        <f>IF(A213&lt;=Analysis!$B$12,A213/Inputs!$B$15,0)</f>
        <v>0</v>
      </c>
      <c r="C213" s="29">
        <f>IF(A213&lt;=Analysis!$B$12,Analysis!$B$11+IF(A213=Analysis!$B$12,Analysis!$B$4,0),0)</f>
        <v>0</v>
      </c>
      <c r="D213" s="29">
        <f>IFERROR(IF(A213&lt;=Analysis!$B$12,1/POWER(1+Analysis!$B$18/Inputs!$B$15,A213),0),0)</f>
        <v>0</v>
      </c>
      <c r="E213" s="29">
        <f t="shared" si="9"/>
        <v>0</v>
      </c>
      <c r="F213" s="30">
        <f t="shared" si="10"/>
        <v>0</v>
      </c>
      <c r="G213" s="28">
        <f t="shared" si="11"/>
        <v>0</v>
      </c>
    </row>
    <row r="214" spans="1:7">
      <c r="A214" s="27">
        <v>209</v>
      </c>
      <c r="B214" s="28">
        <f>IF(A214&lt;=Analysis!$B$12,A214/Inputs!$B$15,0)</f>
        <v>0</v>
      </c>
      <c r="C214" s="29">
        <f>IF(A214&lt;=Analysis!$B$12,Analysis!$B$11+IF(A214=Analysis!$B$12,Analysis!$B$4,0),0)</f>
        <v>0</v>
      </c>
      <c r="D214" s="29">
        <f>IFERROR(IF(A214&lt;=Analysis!$B$12,1/POWER(1+Analysis!$B$18/Inputs!$B$15,A214),0),0)</f>
        <v>0</v>
      </c>
      <c r="E214" s="29">
        <f t="shared" si="9"/>
        <v>0</v>
      </c>
      <c r="F214" s="30">
        <f t="shared" si="10"/>
        <v>0</v>
      </c>
      <c r="G214" s="28">
        <f t="shared" si="11"/>
        <v>0</v>
      </c>
    </row>
    <row r="215" spans="1:7">
      <c r="A215" s="27">
        <v>210</v>
      </c>
      <c r="B215" s="28">
        <f>IF(A215&lt;=Analysis!$B$12,A215/Inputs!$B$15,0)</f>
        <v>0</v>
      </c>
      <c r="C215" s="29">
        <f>IF(A215&lt;=Analysis!$B$12,Analysis!$B$11+IF(A215=Analysis!$B$12,Analysis!$B$4,0),0)</f>
        <v>0</v>
      </c>
      <c r="D215" s="29">
        <f>IFERROR(IF(A215&lt;=Analysis!$B$12,1/POWER(1+Analysis!$B$18/Inputs!$B$15,A215),0),0)</f>
        <v>0</v>
      </c>
      <c r="E215" s="29">
        <f t="shared" si="9"/>
        <v>0</v>
      </c>
      <c r="F215" s="30">
        <f t="shared" si="10"/>
        <v>0</v>
      </c>
      <c r="G215" s="28">
        <f t="shared" si="11"/>
        <v>0</v>
      </c>
    </row>
    <row r="216" spans="1:7">
      <c r="A216" s="27">
        <v>211</v>
      </c>
      <c r="B216" s="28">
        <f>IF(A216&lt;=Analysis!$B$12,A216/Inputs!$B$15,0)</f>
        <v>0</v>
      </c>
      <c r="C216" s="29">
        <f>IF(A216&lt;=Analysis!$B$12,Analysis!$B$11+IF(A216=Analysis!$B$12,Analysis!$B$4,0),0)</f>
        <v>0</v>
      </c>
      <c r="D216" s="29">
        <f>IFERROR(IF(A216&lt;=Analysis!$B$12,1/POWER(1+Analysis!$B$18/Inputs!$B$15,A216),0),0)</f>
        <v>0</v>
      </c>
      <c r="E216" s="29">
        <f t="shared" si="9"/>
        <v>0</v>
      </c>
      <c r="F216" s="30">
        <f t="shared" si="10"/>
        <v>0</v>
      </c>
      <c r="G216" s="28">
        <f t="shared" si="11"/>
        <v>0</v>
      </c>
    </row>
    <row r="217" spans="1:7">
      <c r="A217" s="27">
        <v>212</v>
      </c>
      <c r="B217" s="28">
        <f>IF(A217&lt;=Analysis!$B$12,A217/Inputs!$B$15,0)</f>
        <v>0</v>
      </c>
      <c r="C217" s="29">
        <f>IF(A217&lt;=Analysis!$B$12,Analysis!$B$11+IF(A217=Analysis!$B$12,Analysis!$B$4,0),0)</f>
        <v>0</v>
      </c>
      <c r="D217" s="29">
        <f>IFERROR(IF(A217&lt;=Analysis!$B$12,1/POWER(1+Analysis!$B$18/Inputs!$B$15,A217),0),0)</f>
        <v>0</v>
      </c>
      <c r="E217" s="29">
        <f t="shared" si="9"/>
        <v>0</v>
      </c>
      <c r="F217" s="30">
        <f t="shared" si="10"/>
        <v>0</v>
      </c>
      <c r="G217" s="28">
        <f t="shared" si="11"/>
        <v>0</v>
      </c>
    </row>
    <row r="218" spans="1:7">
      <c r="A218" s="27">
        <v>213</v>
      </c>
      <c r="B218" s="28">
        <f>IF(A218&lt;=Analysis!$B$12,A218/Inputs!$B$15,0)</f>
        <v>0</v>
      </c>
      <c r="C218" s="29">
        <f>IF(A218&lt;=Analysis!$B$12,Analysis!$B$11+IF(A218=Analysis!$B$12,Analysis!$B$4,0),0)</f>
        <v>0</v>
      </c>
      <c r="D218" s="29">
        <f>IFERROR(IF(A218&lt;=Analysis!$B$12,1/POWER(1+Analysis!$B$18/Inputs!$B$15,A218),0),0)</f>
        <v>0</v>
      </c>
      <c r="E218" s="29">
        <f t="shared" si="9"/>
        <v>0</v>
      </c>
      <c r="F218" s="30">
        <f t="shared" si="10"/>
        <v>0</v>
      </c>
      <c r="G218" s="28">
        <f t="shared" si="11"/>
        <v>0</v>
      </c>
    </row>
    <row r="219" spans="1:7">
      <c r="A219" s="27">
        <v>214</v>
      </c>
      <c r="B219" s="28">
        <f>IF(A219&lt;=Analysis!$B$12,A219/Inputs!$B$15,0)</f>
        <v>0</v>
      </c>
      <c r="C219" s="29">
        <f>IF(A219&lt;=Analysis!$B$12,Analysis!$B$11+IF(A219=Analysis!$B$12,Analysis!$B$4,0),0)</f>
        <v>0</v>
      </c>
      <c r="D219" s="29">
        <f>IFERROR(IF(A219&lt;=Analysis!$B$12,1/POWER(1+Analysis!$B$18/Inputs!$B$15,A219),0),0)</f>
        <v>0</v>
      </c>
      <c r="E219" s="29">
        <f t="shared" si="9"/>
        <v>0</v>
      </c>
      <c r="F219" s="30">
        <f t="shared" si="10"/>
        <v>0</v>
      </c>
      <c r="G219" s="28">
        <f t="shared" si="11"/>
        <v>0</v>
      </c>
    </row>
    <row r="220" spans="1:7">
      <c r="A220" s="27">
        <v>215</v>
      </c>
      <c r="B220" s="28">
        <f>IF(A220&lt;=Analysis!$B$12,A220/Inputs!$B$15,0)</f>
        <v>0</v>
      </c>
      <c r="C220" s="29">
        <f>IF(A220&lt;=Analysis!$B$12,Analysis!$B$11+IF(A220=Analysis!$B$12,Analysis!$B$4,0),0)</f>
        <v>0</v>
      </c>
      <c r="D220" s="29">
        <f>IFERROR(IF(A220&lt;=Analysis!$B$12,1/POWER(1+Analysis!$B$18/Inputs!$B$15,A220),0),0)</f>
        <v>0</v>
      </c>
      <c r="E220" s="29">
        <f t="shared" si="9"/>
        <v>0</v>
      </c>
      <c r="F220" s="30">
        <f t="shared" si="10"/>
        <v>0</v>
      </c>
      <c r="G220" s="28">
        <f t="shared" si="11"/>
        <v>0</v>
      </c>
    </row>
    <row r="221" spans="1:7">
      <c r="A221" s="27">
        <v>216</v>
      </c>
      <c r="B221" s="28">
        <f>IF(A221&lt;=Analysis!$B$12,A221/Inputs!$B$15,0)</f>
        <v>0</v>
      </c>
      <c r="C221" s="29">
        <f>IF(A221&lt;=Analysis!$B$12,Analysis!$B$11+IF(A221=Analysis!$B$12,Analysis!$B$4,0),0)</f>
        <v>0</v>
      </c>
      <c r="D221" s="29">
        <f>IFERROR(IF(A221&lt;=Analysis!$B$12,1/POWER(1+Analysis!$B$18/Inputs!$B$15,A221),0),0)</f>
        <v>0</v>
      </c>
      <c r="E221" s="29">
        <f t="shared" si="9"/>
        <v>0</v>
      </c>
      <c r="F221" s="30">
        <f t="shared" si="10"/>
        <v>0</v>
      </c>
      <c r="G221" s="28">
        <f t="shared" si="11"/>
        <v>0</v>
      </c>
    </row>
    <row r="222" spans="1:7">
      <c r="A222" s="27">
        <v>217</v>
      </c>
      <c r="B222" s="28">
        <f>IF(A222&lt;=Analysis!$B$12,A222/Inputs!$B$15,0)</f>
        <v>0</v>
      </c>
      <c r="C222" s="29">
        <f>IF(A222&lt;=Analysis!$B$12,Analysis!$B$11+IF(A222=Analysis!$B$12,Analysis!$B$4,0),0)</f>
        <v>0</v>
      </c>
      <c r="D222" s="29">
        <f>IFERROR(IF(A222&lt;=Analysis!$B$12,1/POWER(1+Analysis!$B$18/Inputs!$B$15,A222),0),0)</f>
        <v>0</v>
      </c>
      <c r="E222" s="29">
        <f t="shared" si="9"/>
        <v>0</v>
      </c>
      <c r="F222" s="30">
        <f t="shared" si="10"/>
        <v>0</v>
      </c>
      <c r="G222" s="28">
        <f t="shared" si="11"/>
        <v>0</v>
      </c>
    </row>
    <row r="223" spans="1:7">
      <c r="A223" s="27">
        <v>218</v>
      </c>
      <c r="B223" s="28">
        <f>IF(A223&lt;=Analysis!$B$12,A223/Inputs!$B$15,0)</f>
        <v>0</v>
      </c>
      <c r="C223" s="29">
        <f>IF(A223&lt;=Analysis!$B$12,Analysis!$B$11+IF(A223=Analysis!$B$12,Analysis!$B$4,0),0)</f>
        <v>0</v>
      </c>
      <c r="D223" s="29">
        <f>IFERROR(IF(A223&lt;=Analysis!$B$12,1/POWER(1+Analysis!$B$18/Inputs!$B$15,A223),0),0)</f>
        <v>0</v>
      </c>
      <c r="E223" s="29">
        <f t="shared" si="9"/>
        <v>0</v>
      </c>
      <c r="F223" s="30">
        <f t="shared" si="10"/>
        <v>0</v>
      </c>
      <c r="G223" s="28">
        <f t="shared" si="11"/>
        <v>0</v>
      </c>
    </row>
    <row r="224" spans="1:7">
      <c r="A224" s="27">
        <v>219</v>
      </c>
      <c r="B224" s="28">
        <f>IF(A224&lt;=Analysis!$B$12,A224/Inputs!$B$15,0)</f>
        <v>0</v>
      </c>
      <c r="C224" s="29">
        <f>IF(A224&lt;=Analysis!$B$12,Analysis!$B$11+IF(A224=Analysis!$B$12,Analysis!$B$4,0),0)</f>
        <v>0</v>
      </c>
      <c r="D224" s="29">
        <f>IFERROR(IF(A224&lt;=Analysis!$B$12,1/POWER(1+Analysis!$B$18/Inputs!$B$15,A224),0),0)</f>
        <v>0</v>
      </c>
      <c r="E224" s="29">
        <f t="shared" si="9"/>
        <v>0</v>
      </c>
      <c r="F224" s="30">
        <f t="shared" si="10"/>
        <v>0</v>
      </c>
      <c r="G224" s="28">
        <f t="shared" si="11"/>
        <v>0</v>
      </c>
    </row>
    <row r="225" spans="1:7">
      <c r="A225" s="27">
        <v>220</v>
      </c>
      <c r="B225" s="28">
        <f>IF(A225&lt;=Analysis!$B$12,A225/Inputs!$B$15,0)</f>
        <v>0</v>
      </c>
      <c r="C225" s="29">
        <f>IF(A225&lt;=Analysis!$B$12,Analysis!$B$11+IF(A225=Analysis!$B$12,Analysis!$B$4,0),0)</f>
        <v>0</v>
      </c>
      <c r="D225" s="29">
        <f>IFERROR(IF(A225&lt;=Analysis!$B$12,1/POWER(1+Analysis!$B$18/Inputs!$B$15,A225),0),0)</f>
        <v>0</v>
      </c>
      <c r="E225" s="29">
        <f t="shared" si="9"/>
        <v>0</v>
      </c>
      <c r="F225" s="30">
        <f t="shared" si="10"/>
        <v>0</v>
      </c>
      <c r="G225" s="28">
        <f t="shared" si="11"/>
        <v>0</v>
      </c>
    </row>
    <row r="226" spans="1:7">
      <c r="A226" s="27">
        <v>221</v>
      </c>
      <c r="B226" s="28">
        <f>IF(A226&lt;=Analysis!$B$12,A226/Inputs!$B$15,0)</f>
        <v>0</v>
      </c>
      <c r="C226" s="29">
        <f>IF(A226&lt;=Analysis!$B$12,Analysis!$B$11+IF(A226=Analysis!$B$12,Analysis!$B$4,0),0)</f>
        <v>0</v>
      </c>
      <c r="D226" s="29">
        <f>IFERROR(IF(A226&lt;=Analysis!$B$12,1/POWER(1+Analysis!$B$18/Inputs!$B$15,A226),0),0)</f>
        <v>0</v>
      </c>
      <c r="E226" s="29">
        <f t="shared" si="9"/>
        <v>0</v>
      </c>
      <c r="F226" s="30">
        <f t="shared" si="10"/>
        <v>0</v>
      </c>
      <c r="G226" s="28">
        <f t="shared" si="11"/>
        <v>0</v>
      </c>
    </row>
    <row r="227" spans="1:7">
      <c r="A227" s="27">
        <v>222</v>
      </c>
      <c r="B227" s="28">
        <f>IF(A227&lt;=Analysis!$B$12,A227/Inputs!$B$15,0)</f>
        <v>0</v>
      </c>
      <c r="C227" s="29">
        <f>IF(A227&lt;=Analysis!$B$12,Analysis!$B$11+IF(A227=Analysis!$B$12,Analysis!$B$4,0),0)</f>
        <v>0</v>
      </c>
      <c r="D227" s="29">
        <f>IFERROR(IF(A227&lt;=Analysis!$B$12,1/POWER(1+Analysis!$B$18/Inputs!$B$15,A227),0),0)</f>
        <v>0</v>
      </c>
      <c r="E227" s="29">
        <f t="shared" si="9"/>
        <v>0</v>
      </c>
      <c r="F227" s="30">
        <f t="shared" si="10"/>
        <v>0</v>
      </c>
      <c r="G227" s="28">
        <f t="shared" si="11"/>
        <v>0</v>
      </c>
    </row>
    <row r="228" spans="1:7">
      <c r="A228" s="27">
        <v>223</v>
      </c>
      <c r="B228" s="28">
        <f>IF(A228&lt;=Analysis!$B$12,A228/Inputs!$B$15,0)</f>
        <v>0</v>
      </c>
      <c r="C228" s="29">
        <f>IF(A228&lt;=Analysis!$B$12,Analysis!$B$11+IF(A228=Analysis!$B$12,Analysis!$B$4,0),0)</f>
        <v>0</v>
      </c>
      <c r="D228" s="29">
        <f>IFERROR(IF(A228&lt;=Analysis!$B$12,1/POWER(1+Analysis!$B$18/Inputs!$B$15,A228),0),0)</f>
        <v>0</v>
      </c>
      <c r="E228" s="29">
        <f t="shared" si="9"/>
        <v>0</v>
      </c>
      <c r="F228" s="30">
        <f t="shared" si="10"/>
        <v>0</v>
      </c>
      <c r="G228" s="28">
        <f t="shared" si="11"/>
        <v>0</v>
      </c>
    </row>
    <row r="229" spans="1:7">
      <c r="A229" s="27">
        <v>224</v>
      </c>
      <c r="B229" s="28">
        <f>IF(A229&lt;=Analysis!$B$12,A229/Inputs!$B$15,0)</f>
        <v>0</v>
      </c>
      <c r="C229" s="29">
        <f>IF(A229&lt;=Analysis!$B$12,Analysis!$B$11+IF(A229=Analysis!$B$12,Analysis!$B$4,0),0)</f>
        <v>0</v>
      </c>
      <c r="D229" s="29">
        <f>IFERROR(IF(A229&lt;=Analysis!$B$12,1/POWER(1+Analysis!$B$18/Inputs!$B$15,A229),0),0)</f>
        <v>0</v>
      </c>
      <c r="E229" s="29">
        <f t="shared" si="9"/>
        <v>0</v>
      </c>
      <c r="F229" s="30">
        <f t="shared" si="10"/>
        <v>0</v>
      </c>
      <c r="G229" s="28">
        <f t="shared" si="11"/>
        <v>0</v>
      </c>
    </row>
    <row r="230" spans="1:7">
      <c r="A230" s="27">
        <v>225</v>
      </c>
      <c r="B230" s="28">
        <f>IF(A230&lt;=Analysis!$B$12,A230/Inputs!$B$15,0)</f>
        <v>0</v>
      </c>
      <c r="C230" s="29">
        <f>IF(A230&lt;=Analysis!$B$12,Analysis!$B$11+IF(A230=Analysis!$B$12,Analysis!$B$4,0),0)</f>
        <v>0</v>
      </c>
      <c r="D230" s="29">
        <f>IFERROR(IF(A230&lt;=Analysis!$B$12,1/POWER(1+Analysis!$B$18/Inputs!$B$15,A230),0),0)</f>
        <v>0</v>
      </c>
      <c r="E230" s="29">
        <f t="shared" si="9"/>
        <v>0</v>
      </c>
      <c r="F230" s="30">
        <f t="shared" si="10"/>
        <v>0</v>
      </c>
      <c r="G230" s="28">
        <f t="shared" si="11"/>
        <v>0</v>
      </c>
    </row>
    <row r="231" spans="1:7">
      <c r="A231" s="27">
        <v>226</v>
      </c>
      <c r="B231" s="28">
        <f>IF(A231&lt;=Analysis!$B$12,A231/Inputs!$B$15,0)</f>
        <v>0</v>
      </c>
      <c r="C231" s="29">
        <f>IF(A231&lt;=Analysis!$B$12,Analysis!$B$11+IF(A231=Analysis!$B$12,Analysis!$B$4,0),0)</f>
        <v>0</v>
      </c>
      <c r="D231" s="29">
        <f>IFERROR(IF(A231&lt;=Analysis!$B$12,1/POWER(1+Analysis!$B$18/Inputs!$B$15,A231),0),0)</f>
        <v>0</v>
      </c>
      <c r="E231" s="29">
        <f t="shared" si="9"/>
        <v>0</v>
      </c>
      <c r="F231" s="30">
        <f t="shared" si="10"/>
        <v>0</v>
      </c>
      <c r="G231" s="28">
        <f t="shared" si="11"/>
        <v>0</v>
      </c>
    </row>
    <row r="232" spans="1:7">
      <c r="A232" s="27">
        <v>227</v>
      </c>
      <c r="B232" s="28">
        <f>IF(A232&lt;=Analysis!$B$12,A232/Inputs!$B$15,0)</f>
        <v>0</v>
      </c>
      <c r="C232" s="29">
        <f>IF(A232&lt;=Analysis!$B$12,Analysis!$B$11+IF(A232=Analysis!$B$12,Analysis!$B$4,0),0)</f>
        <v>0</v>
      </c>
      <c r="D232" s="29">
        <f>IFERROR(IF(A232&lt;=Analysis!$B$12,1/POWER(1+Analysis!$B$18/Inputs!$B$15,A232),0),0)</f>
        <v>0</v>
      </c>
      <c r="E232" s="29">
        <f t="shared" si="9"/>
        <v>0</v>
      </c>
      <c r="F232" s="30">
        <f t="shared" si="10"/>
        <v>0</v>
      </c>
      <c r="G232" s="28">
        <f t="shared" si="11"/>
        <v>0</v>
      </c>
    </row>
    <row r="233" spans="1:7">
      <c r="A233" s="27">
        <v>228</v>
      </c>
      <c r="B233" s="28">
        <f>IF(A233&lt;=Analysis!$B$12,A233/Inputs!$B$15,0)</f>
        <v>0</v>
      </c>
      <c r="C233" s="29">
        <f>IF(A233&lt;=Analysis!$B$12,Analysis!$B$11+IF(A233=Analysis!$B$12,Analysis!$B$4,0),0)</f>
        <v>0</v>
      </c>
      <c r="D233" s="29">
        <f>IFERROR(IF(A233&lt;=Analysis!$B$12,1/POWER(1+Analysis!$B$18/Inputs!$B$15,A233),0),0)</f>
        <v>0</v>
      </c>
      <c r="E233" s="29">
        <f t="shared" si="9"/>
        <v>0</v>
      </c>
      <c r="F233" s="30">
        <f t="shared" si="10"/>
        <v>0</v>
      </c>
      <c r="G233" s="28">
        <f t="shared" si="11"/>
        <v>0</v>
      </c>
    </row>
    <row r="234" spans="1:7">
      <c r="A234" s="27">
        <v>229</v>
      </c>
      <c r="B234" s="28">
        <f>IF(A234&lt;=Analysis!$B$12,A234/Inputs!$B$15,0)</f>
        <v>0</v>
      </c>
      <c r="C234" s="29">
        <f>IF(A234&lt;=Analysis!$B$12,Analysis!$B$11+IF(A234=Analysis!$B$12,Analysis!$B$4,0),0)</f>
        <v>0</v>
      </c>
      <c r="D234" s="29">
        <f>IFERROR(IF(A234&lt;=Analysis!$B$12,1/POWER(1+Analysis!$B$18/Inputs!$B$15,A234),0),0)</f>
        <v>0</v>
      </c>
      <c r="E234" s="29">
        <f t="shared" si="9"/>
        <v>0</v>
      </c>
      <c r="F234" s="30">
        <f t="shared" si="10"/>
        <v>0</v>
      </c>
      <c r="G234" s="28">
        <f t="shared" si="11"/>
        <v>0</v>
      </c>
    </row>
    <row r="235" spans="1:7">
      <c r="A235" s="27">
        <v>230</v>
      </c>
      <c r="B235" s="28">
        <f>IF(A235&lt;=Analysis!$B$12,A235/Inputs!$B$15,0)</f>
        <v>0</v>
      </c>
      <c r="C235" s="29">
        <f>IF(A235&lt;=Analysis!$B$12,Analysis!$B$11+IF(A235=Analysis!$B$12,Analysis!$B$4,0),0)</f>
        <v>0</v>
      </c>
      <c r="D235" s="29">
        <f>IFERROR(IF(A235&lt;=Analysis!$B$12,1/POWER(1+Analysis!$B$18/Inputs!$B$15,A235),0),0)</f>
        <v>0</v>
      </c>
      <c r="E235" s="29">
        <f t="shared" si="9"/>
        <v>0</v>
      </c>
      <c r="F235" s="30">
        <f t="shared" si="10"/>
        <v>0</v>
      </c>
      <c r="G235" s="28">
        <f t="shared" si="11"/>
        <v>0</v>
      </c>
    </row>
    <row r="236" spans="1:7">
      <c r="A236" s="27">
        <v>231</v>
      </c>
      <c r="B236" s="28">
        <f>IF(A236&lt;=Analysis!$B$12,A236/Inputs!$B$15,0)</f>
        <v>0</v>
      </c>
      <c r="C236" s="29">
        <f>IF(A236&lt;=Analysis!$B$12,Analysis!$B$11+IF(A236=Analysis!$B$12,Analysis!$B$4,0),0)</f>
        <v>0</v>
      </c>
      <c r="D236" s="29">
        <f>IFERROR(IF(A236&lt;=Analysis!$B$12,1/POWER(1+Analysis!$B$18/Inputs!$B$15,A236),0),0)</f>
        <v>0</v>
      </c>
      <c r="E236" s="29">
        <f t="shared" si="9"/>
        <v>0</v>
      </c>
      <c r="F236" s="30">
        <f t="shared" si="10"/>
        <v>0</v>
      </c>
      <c r="G236" s="28">
        <f t="shared" si="11"/>
        <v>0</v>
      </c>
    </row>
    <row r="237" spans="1:7">
      <c r="A237" s="27">
        <v>232</v>
      </c>
      <c r="B237" s="28">
        <f>IF(A237&lt;=Analysis!$B$12,A237/Inputs!$B$15,0)</f>
        <v>0</v>
      </c>
      <c r="C237" s="29">
        <f>IF(A237&lt;=Analysis!$B$12,Analysis!$B$11+IF(A237=Analysis!$B$12,Analysis!$B$4,0),0)</f>
        <v>0</v>
      </c>
      <c r="D237" s="29">
        <f>IFERROR(IF(A237&lt;=Analysis!$B$12,1/POWER(1+Analysis!$B$18/Inputs!$B$15,A237),0),0)</f>
        <v>0</v>
      </c>
      <c r="E237" s="29">
        <f t="shared" si="9"/>
        <v>0</v>
      </c>
      <c r="F237" s="30">
        <f t="shared" si="10"/>
        <v>0</v>
      </c>
      <c r="G237" s="28">
        <f t="shared" si="11"/>
        <v>0</v>
      </c>
    </row>
    <row r="238" spans="1:7">
      <c r="A238" s="27">
        <v>233</v>
      </c>
      <c r="B238" s="28">
        <f>IF(A238&lt;=Analysis!$B$12,A238/Inputs!$B$15,0)</f>
        <v>0</v>
      </c>
      <c r="C238" s="29">
        <f>IF(A238&lt;=Analysis!$B$12,Analysis!$B$11+IF(A238=Analysis!$B$12,Analysis!$B$4,0),0)</f>
        <v>0</v>
      </c>
      <c r="D238" s="29">
        <f>IFERROR(IF(A238&lt;=Analysis!$B$12,1/POWER(1+Analysis!$B$18/Inputs!$B$15,A238),0),0)</f>
        <v>0</v>
      </c>
      <c r="E238" s="29">
        <f t="shared" si="9"/>
        <v>0</v>
      </c>
      <c r="F238" s="30">
        <f t="shared" si="10"/>
        <v>0</v>
      </c>
      <c r="G238" s="28">
        <f t="shared" si="11"/>
        <v>0</v>
      </c>
    </row>
    <row r="239" spans="1:7">
      <c r="A239" s="27">
        <v>234</v>
      </c>
      <c r="B239" s="28">
        <f>IF(A239&lt;=Analysis!$B$12,A239/Inputs!$B$15,0)</f>
        <v>0</v>
      </c>
      <c r="C239" s="29">
        <f>IF(A239&lt;=Analysis!$B$12,Analysis!$B$11+IF(A239=Analysis!$B$12,Analysis!$B$4,0),0)</f>
        <v>0</v>
      </c>
      <c r="D239" s="29">
        <f>IFERROR(IF(A239&lt;=Analysis!$B$12,1/POWER(1+Analysis!$B$18/Inputs!$B$15,A239),0),0)</f>
        <v>0</v>
      </c>
      <c r="E239" s="29">
        <f t="shared" si="9"/>
        <v>0</v>
      </c>
      <c r="F239" s="30">
        <f t="shared" si="10"/>
        <v>0</v>
      </c>
      <c r="G239" s="28">
        <f t="shared" si="11"/>
        <v>0</v>
      </c>
    </row>
    <row r="240" spans="1:7">
      <c r="A240" s="27">
        <v>235</v>
      </c>
      <c r="B240" s="28">
        <f>IF(A240&lt;=Analysis!$B$12,A240/Inputs!$B$15,0)</f>
        <v>0</v>
      </c>
      <c r="C240" s="29">
        <f>IF(A240&lt;=Analysis!$B$12,Analysis!$B$11+IF(A240=Analysis!$B$12,Analysis!$B$4,0),0)</f>
        <v>0</v>
      </c>
      <c r="D240" s="29">
        <f>IFERROR(IF(A240&lt;=Analysis!$B$12,1/POWER(1+Analysis!$B$18/Inputs!$B$15,A240),0),0)</f>
        <v>0</v>
      </c>
      <c r="E240" s="29">
        <f t="shared" si="9"/>
        <v>0</v>
      </c>
      <c r="F240" s="30">
        <f t="shared" si="10"/>
        <v>0</v>
      </c>
      <c r="G240" s="28">
        <f t="shared" si="11"/>
        <v>0</v>
      </c>
    </row>
    <row r="241" spans="1:7">
      <c r="A241" s="27">
        <v>236</v>
      </c>
      <c r="B241" s="28">
        <f>IF(A241&lt;=Analysis!$B$12,A241/Inputs!$B$15,0)</f>
        <v>0</v>
      </c>
      <c r="C241" s="29">
        <f>IF(A241&lt;=Analysis!$B$12,Analysis!$B$11+IF(A241=Analysis!$B$12,Analysis!$B$4,0),0)</f>
        <v>0</v>
      </c>
      <c r="D241" s="29">
        <f>IFERROR(IF(A241&lt;=Analysis!$B$12,1/POWER(1+Analysis!$B$18/Inputs!$B$15,A241),0),0)</f>
        <v>0</v>
      </c>
      <c r="E241" s="29">
        <f t="shared" si="9"/>
        <v>0</v>
      </c>
      <c r="F241" s="30">
        <f t="shared" si="10"/>
        <v>0</v>
      </c>
      <c r="G241" s="28">
        <f t="shared" si="11"/>
        <v>0</v>
      </c>
    </row>
    <row r="242" spans="1:7">
      <c r="A242" s="27">
        <v>237</v>
      </c>
      <c r="B242" s="28">
        <f>IF(A242&lt;=Analysis!$B$12,A242/Inputs!$B$15,0)</f>
        <v>0</v>
      </c>
      <c r="C242" s="29">
        <f>IF(A242&lt;=Analysis!$B$12,Analysis!$B$11+IF(A242=Analysis!$B$12,Analysis!$B$4,0),0)</f>
        <v>0</v>
      </c>
      <c r="D242" s="29">
        <f>IFERROR(IF(A242&lt;=Analysis!$B$12,1/POWER(1+Analysis!$B$18/Inputs!$B$15,A242),0),0)</f>
        <v>0</v>
      </c>
      <c r="E242" s="29">
        <f t="shared" si="9"/>
        <v>0</v>
      </c>
      <c r="F242" s="30">
        <f t="shared" si="10"/>
        <v>0</v>
      </c>
      <c r="G242" s="28">
        <f t="shared" si="11"/>
        <v>0</v>
      </c>
    </row>
    <row r="243" spans="1:7">
      <c r="A243" s="27">
        <v>238</v>
      </c>
      <c r="B243" s="28">
        <f>IF(A243&lt;=Analysis!$B$12,A243/Inputs!$B$15,0)</f>
        <v>0</v>
      </c>
      <c r="C243" s="29">
        <f>IF(A243&lt;=Analysis!$B$12,Analysis!$B$11+IF(A243=Analysis!$B$12,Analysis!$B$4,0),0)</f>
        <v>0</v>
      </c>
      <c r="D243" s="29">
        <f>IFERROR(IF(A243&lt;=Analysis!$B$12,1/POWER(1+Analysis!$B$18/Inputs!$B$15,A243),0),0)</f>
        <v>0</v>
      </c>
      <c r="E243" s="29">
        <f t="shared" si="9"/>
        <v>0</v>
      </c>
      <c r="F243" s="30">
        <f t="shared" si="10"/>
        <v>0</v>
      </c>
      <c r="G243" s="28">
        <f t="shared" si="11"/>
        <v>0</v>
      </c>
    </row>
    <row r="244" spans="1:7">
      <c r="A244" s="27">
        <v>239</v>
      </c>
      <c r="B244" s="28">
        <f>IF(A244&lt;=Analysis!$B$12,A244/Inputs!$B$15,0)</f>
        <v>0</v>
      </c>
      <c r="C244" s="29">
        <f>IF(A244&lt;=Analysis!$B$12,Analysis!$B$11+IF(A244=Analysis!$B$12,Analysis!$B$4,0),0)</f>
        <v>0</v>
      </c>
      <c r="D244" s="29">
        <f>IFERROR(IF(A244&lt;=Analysis!$B$12,1/POWER(1+Analysis!$B$18/Inputs!$B$15,A244),0),0)</f>
        <v>0</v>
      </c>
      <c r="E244" s="29">
        <f t="shared" si="9"/>
        <v>0</v>
      </c>
      <c r="F244" s="30">
        <f t="shared" si="10"/>
        <v>0</v>
      </c>
      <c r="G244" s="28">
        <f t="shared" si="11"/>
        <v>0</v>
      </c>
    </row>
    <row r="245" spans="1:7">
      <c r="A245" s="27">
        <v>240</v>
      </c>
      <c r="B245" s="28">
        <f>IF(A245&lt;=Analysis!$B$12,A245/Inputs!$B$15,0)</f>
        <v>0</v>
      </c>
      <c r="C245" s="29">
        <f>IF(A245&lt;=Analysis!$B$12,Analysis!$B$11+IF(A245=Analysis!$B$12,Analysis!$B$4,0),0)</f>
        <v>0</v>
      </c>
      <c r="D245" s="29">
        <f>IFERROR(IF(A245&lt;=Analysis!$B$12,1/POWER(1+Analysis!$B$18/Inputs!$B$15,A245),0),0)</f>
        <v>0</v>
      </c>
      <c r="E245" s="29">
        <f t="shared" si="9"/>
        <v>0</v>
      </c>
      <c r="F245" s="30">
        <f t="shared" si="10"/>
        <v>0</v>
      </c>
      <c r="G245" s="28">
        <f t="shared" si="11"/>
        <v>0</v>
      </c>
    </row>
    <row r="246" spans="1:7">
      <c r="A246" s="27">
        <v>241</v>
      </c>
      <c r="B246" s="28">
        <f>IF(A246&lt;=Analysis!$B$12,A246/Inputs!$B$15,0)</f>
        <v>0</v>
      </c>
      <c r="C246" s="29">
        <f>IF(A246&lt;=Analysis!$B$12,Analysis!$B$11+IF(A246=Analysis!$B$12,Analysis!$B$4,0),0)</f>
        <v>0</v>
      </c>
      <c r="D246" s="29">
        <f>IFERROR(IF(A246&lt;=Analysis!$B$12,1/POWER(1+Analysis!$B$18/Inputs!$B$15,A246),0),0)</f>
        <v>0</v>
      </c>
      <c r="E246" s="29">
        <f t="shared" si="9"/>
        <v>0</v>
      </c>
      <c r="F246" s="30">
        <f t="shared" si="10"/>
        <v>0</v>
      </c>
      <c r="G246" s="28">
        <f t="shared" si="11"/>
        <v>0</v>
      </c>
    </row>
    <row r="247" spans="1:7">
      <c r="A247" s="27">
        <v>242</v>
      </c>
      <c r="B247" s="28">
        <f>IF(A247&lt;=Analysis!$B$12,A247/Inputs!$B$15,0)</f>
        <v>0</v>
      </c>
      <c r="C247" s="29">
        <f>IF(A247&lt;=Analysis!$B$12,Analysis!$B$11+IF(A247=Analysis!$B$12,Analysis!$B$4,0),0)</f>
        <v>0</v>
      </c>
      <c r="D247" s="29">
        <f>IFERROR(IF(A247&lt;=Analysis!$B$12,1/POWER(1+Analysis!$B$18/Inputs!$B$15,A247),0),0)</f>
        <v>0</v>
      </c>
      <c r="E247" s="29">
        <f t="shared" si="9"/>
        <v>0</v>
      </c>
      <c r="F247" s="30">
        <f t="shared" si="10"/>
        <v>0</v>
      </c>
      <c r="G247" s="28">
        <f t="shared" si="11"/>
        <v>0</v>
      </c>
    </row>
    <row r="248" spans="1:7">
      <c r="A248" s="27">
        <v>243</v>
      </c>
      <c r="B248" s="28">
        <f>IF(A248&lt;=Analysis!$B$12,A248/Inputs!$B$15,0)</f>
        <v>0</v>
      </c>
      <c r="C248" s="29">
        <f>IF(A248&lt;=Analysis!$B$12,Analysis!$B$11+IF(A248=Analysis!$B$12,Analysis!$B$4,0),0)</f>
        <v>0</v>
      </c>
      <c r="D248" s="29">
        <f>IFERROR(IF(A248&lt;=Analysis!$B$12,1/POWER(1+Analysis!$B$18/Inputs!$B$15,A248),0),0)</f>
        <v>0</v>
      </c>
      <c r="E248" s="29">
        <f t="shared" si="9"/>
        <v>0</v>
      </c>
      <c r="F248" s="30">
        <f t="shared" si="10"/>
        <v>0</v>
      </c>
      <c r="G248" s="28">
        <f t="shared" si="11"/>
        <v>0</v>
      </c>
    </row>
    <row r="249" spans="1:7">
      <c r="A249" s="27">
        <v>244</v>
      </c>
      <c r="B249" s="28">
        <f>IF(A249&lt;=Analysis!$B$12,A249/Inputs!$B$15,0)</f>
        <v>0</v>
      </c>
      <c r="C249" s="29">
        <f>IF(A249&lt;=Analysis!$B$12,Analysis!$B$11+IF(A249=Analysis!$B$12,Analysis!$B$4,0),0)</f>
        <v>0</v>
      </c>
      <c r="D249" s="29">
        <f>IFERROR(IF(A249&lt;=Analysis!$B$12,1/POWER(1+Analysis!$B$18/Inputs!$B$15,A249),0),0)</f>
        <v>0</v>
      </c>
      <c r="E249" s="29">
        <f t="shared" si="9"/>
        <v>0</v>
      </c>
      <c r="F249" s="30">
        <f t="shared" si="10"/>
        <v>0</v>
      </c>
      <c r="G249" s="28">
        <f t="shared" si="11"/>
        <v>0</v>
      </c>
    </row>
    <row r="250" spans="1:7">
      <c r="A250" s="27">
        <v>245</v>
      </c>
      <c r="B250" s="28">
        <f>IF(A250&lt;=Analysis!$B$12,A250/Inputs!$B$15,0)</f>
        <v>0</v>
      </c>
      <c r="C250" s="29">
        <f>IF(A250&lt;=Analysis!$B$12,Analysis!$B$11+IF(A250=Analysis!$B$12,Analysis!$B$4,0),0)</f>
        <v>0</v>
      </c>
      <c r="D250" s="29">
        <f>IFERROR(IF(A250&lt;=Analysis!$B$12,1/POWER(1+Analysis!$B$18/Inputs!$B$15,A250),0),0)</f>
        <v>0</v>
      </c>
      <c r="E250" s="29">
        <f t="shared" si="9"/>
        <v>0</v>
      </c>
      <c r="F250" s="30">
        <f t="shared" si="10"/>
        <v>0</v>
      </c>
      <c r="G250" s="28">
        <f t="shared" si="11"/>
        <v>0</v>
      </c>
    </row>
    <row r="251" spans="1:7">
      <c r="A251" s="27">
        <v>246</v>
      </c>
      <c r="B251" s="28">
        <f>IF(A251&lt;=Analysis!$B$12,A251/Inputs!$B$15,0)</f>
        <v>0</v>
      </c>
      <c r="C251" s="29">
        <f>IF(A251&lt;=Analysis!$B$12,Analysis!$B$11+IF(A251=Analysis!$B$12,Analysis!$B$4,0),0)</f>
        <v>0</v>
      </c>
      <c r="D251" s="29">
        <f>IFERROR(IF(A251&lt;=Analysis!$B$12,1/POWER(1+Analysis!$B$18/Inputs!$B$15,A251),0),0)</f>
        <v>0</v>
      </c>
      <c r="E251" s="29">
        <f t="shared" si="9"/>
        <v>0</v>
      </c>
      <c r="F251" s="30">
        <f t="shared" si="10"/>
        <v>0</v>
      </c>
      <c r="G251" s="28">
        <f t="shared" si="11"/>
        <v>0</v>
      </c>
    </row>
    <row r="252" spans="1:7">
      <c r="A252" s="27">
        <v>247</v>
      </c>
      <c r="B252" s="28">
        <f>IF(A252&lt;=Analysis!$B$12,A252/Inputs!$B$15,0)</f>
        <v>0</v>
      </c>
      <c r="C252" s="29">
        <f>IF(A252&lt;=Analysis!$B$12,Analysis!$B$11+IF(A252=Analysis!$B$12,Analysis!$B$4,0),0)</f>
        <v>0</v>
      </c>
      <c r="D252" s="29">
        <f>IFERROR(IF(A252&lt;=Analysis!$B$12,1/POWER(1+Analysis!$B$18/Inputs!$B$15,A252),0),0)</f>
        <v>0</v>
      </c>
      <c r="E252" s="29">
        <f t="shared" si="9"/>
        <v>0</v>
      </c>
      <c r="F252" s="30">
        <f t="shared" si="10"/>
        <v>0</v>
      </c>
      <c r="G252" s="28">
        <f t="shared" si="11"/>
        <v>0</v>
      </c>
    </row>
    <row r="253" spans="1:7">
      <c r="A253" s="27">
        <v>248</v>
      </c>
      <c r="B253" s="28">
        <f>IF(A253&lt;=Analysis!$B$12,A253/Inputs!$B$15,0)</f>
        <v>0</v>
      </c>
      <c r="C253" s="29">
        <f>IF(A253&lt;=Analysis!$B$12,Analysis!$B$11+IF(A253=Analysis!$B$12,Analysis!$B$4,0),0)</f>
        <v>0</v>
      </c>
      <c r="D253" s="29">
        <f>IFERROR(IF(A253&lt;=Analysis!$B$12,1/POWER(1+Analysis!$B$18/Inputs!$B$15,A253),0),0)</f>
        <v>0</v>
      </c>
      <c r="E253" s="29">
        <f t="shared" si="9"/>
        <v>0</v>
      </c>
      <c r="F253" s="30">
        <f t="shared" si="10"/>
        <v>0</v>
      </c>
      <c r="G253" s="28">
        <f t="shared" si="11"/>
        <v>0</v>
      </c>
    </row>
    <row r="254" spans="1:7">
      <c r="A254" s="27">
        <v>249</v>
      </c>
      <c r="B254" s="28">
        <f>IF(A254&lt;=Analysis!$B$12,A254/Inputs!$B$15,0)</f>
        <v>0</v>
      </c>
      <c r="C254" s="29">
        <f>IF(A254&lt;=Analysis!$B$12,Analysis!$B$11+IF(A254=Analysis!$B$12,Analysis!$B$4,0),0)</f>
        <v>0</v>
      </c>
      <c r="D254" s="29">
        <f>IFERROR(IF(A254&lt;=Analysis!$B$12,1/POWER(1+Analysis!$B$18/Inputs!$B$15,A254),0),0)</f>
        <v>0</v>
      </c>
      <c r="E254" s="29">
        <f t="shared" si="9"/>
        <v>0</v>
      </c>
      <c r="F254" s="30">
        <f t="shared" si="10"/>
        <v>0</v>
      </c>
      <c r="G254" s="28">
        <f t="shared" si="11"/>
        <v>0</v>
      </c>
    </row>
    <row r="255" spans="1:7">
      <c r="A255" s="27">
        <v>250</v>
      </c>
      <c r="B255" s="28">
        <f>IF(A255&lt;=Analysis!$B$12,A255/Inputs!$B$15,0)</f>
        <v>0</v>
      </c>
      <c r="C255" s="29">
        <f>IF(A255&lt;=Analysis!$B$12,Analysis!$B$11+IF(A255=Analysis!$B$12,Analysis!$B$4,0),0)</f>
        <v>0</v>
      </c>
      <c r="D255" s="29">
        <f>IFERROR(IF(A255&lt;=Analysis!$B$12,1/POWER(1+Analysis!$B$18/Inputs!$B$15,A255),0),0)</f>
        <v>0</v>
      </c>
      <c r="E255" s="29">
        <f t="shared" si="9"/>
        <v>0</v>
      </c>
      <c r="F255" s="30">
        <f t="shared" si="10"/>
        <v>0</v>
      </c>
      <c r="G255" s="28">
        <f t="shared" si="11"/>
        <v>0</v>
      </c>
    </row>
    <row r="256" spans="1:7">
      <c r="A256" s="27">
        <v>251</v>
      </c>
      <c r="B256" s="28">
        <f>IF(A256&lt;=Analysis!$B$12,A256/Inputs!$B$15,0)</f>
        <v>0</v>
      </c>
      <c r="C256" s="29">
        <f>IF(A256&lt;=Analysis!$B$12,Analysis!$B$11+IF(A256=Analysis!$B$12,Analysis!$B$4,0),0)</f>
        <v>0</v>
      </c>
      <c r="D256" s="29">
        <f>IFERROR(IF(A256&lt;=Analysis!$B$12,1/POWER(1+Analysis!$B$18/Inputs!$B$15,A256),0),0)</f>
        <v>0</v>
      </c>
      <c r="E256" s="29">
        <f t="shared" si="9"/>
        <v>0</v>
      </c>
      <c r="F256" s="30">
        <f t="shared" si="10"/>
        <v>0</v>
      </c>
      <c r="G256" s="28">
        <f t="shared" si="11"/>
        <v>0</v>
      </c>
    </row>
    <row r="257" spans="1:7">
      <c r="A257" s="27">
        <v>252</v>
      </c>
      <c r="B257" s="28">
        <f>IF(A257&lt;=Analysis!$B$12,A257/Inputs!$B$15,0)</f>
        <v>0</v>
      </c>
      <c r="C257" s="29">
        <f>IF(A257&lt;=Analysis!$B$12,Analysis!$B$11+IF(A257=Analysis!$B$12,Analysis!$B$4,0),0)</f>
        <v>0</v>
      </c>
      <c r="D257" s="29">
        <f>IFERROR(IF(A257&lt;=Analysis!$B$12,1/POWER(1+Analysis!$B$18/Inputs!$B$15,A257),0),0)</f>
        <v>0</v>
      </c>
      <c r="E257" s="29">
        <f t="shared" si="9"/>
        <v>0</v>
      </c>
      <c r="F257" s="30">
        <f t="shared" si="10"/>
        <v>0</v>
      </c>
      <c r="G257" s="28">
        <f t="shared" si="11"/>
        <v>0</v>
      </c>
    </row>
    <row r="258" spans="1:7">
      <c r="A258" s="27">
        <v>253</v>
      </c>
      <c r="B258" s="28">
        <f>IF(A258&lt;=Analysis!$B$12,A258/Inputs!$B$15,0)</f>
        <v>0</v>
      </c>
      <c r="C258" s="29">
        <f>IF(A258&lt;=Analysis!$B$12,Analysis!$B$11+IF(A258=Analysis!$B$12,Analysis!$B$4,0),0)</f>
        <v>0</v>
      </c>
      <c r="D258" s="29">
        <f>IFERROR(IF(A258&lt;=Analysis!$B$12,1/POWER(1+Analysis!$B$18/Inputs!$B$15,A258),0),0)</f>
        <v>0</v>
      </c>
      <c r="E258" s="29">
        <f t="shared" si="9"/>
        <v>0</v>
      </c>
      <c r="F258" s="30">
        <f t="shared" si="10"/>
        <v>0</v>
      </c>
      <c r="G258" s="28">
        <f t="shared" si="11"/>
        <v>0</v>
      </c>
    </row>
    <row r="259" spans="1:7">
      <c r="A259" s="27">
        <v>254</v>
      </c>
      <c r="B259" s="28">
        <f>IF(A259&lt;=Analysis!$B$12,A259/Inputs!$B$15,0)</f>
        <v>0</v>
      </c>
      <c r="C259" s="29">
        <f>IF(A259&lt;=Analysis!$B$12,Analysis!$B$11+IF(A259=Analysis!$B$12,Analysis!$B$4,0),0)</f>
        <v>0</v>
      </c>
      <c r="D259" s="29">
        <f>IFERROR(IF(A259&lt;=Analysis!$B$12,1/POWER(1+Analysis!$B$18/Inputs!$B$15,A259),0),0)</f>
        <v>0</v>
      </c>
      <c r="E259" s="29">
        <f t="shared" si="9"/>
        <v>0</v>
      </c>
      <c r="F259" s="30">
        <f t="shared" si="10"/>
        <v>0</v>
      </c>
      <c r="G259" s="28">
        <f t="shared" si="11"/>
        <v>0</v>
      </c>
    </row>
    <row r="260" spans="1:7">
      <c r="A260" s="27">
        <v>255</v>
      </c>
      <c r="B260" s="28">
        <f>IF(A260&lt;=Analysis!$B$12,A260/Inputs!$B$15,0)</f>
        <v>0</v>
      </c>
      <c r="C260" s="29">
        <f>IF(A260&lt;=Analysis!$B$12,Analysis!$B$11+IF(A260=Analysis!$B$12,Analysis!$B$4,0),0)</f>
        <v>0</v>
      </c>
      <c r="D260" s="29">
        <f>IFERROR(IF(A260&lt;=Analysis!$B$12,1/POWER(1+Analysis!$B$18/Inputs!$B$15,A260),0),0)</f>
        <v>0</v>
      </c>
      <c r="E260" s="29">
        <f t="shared" si="9"/>
        <v>0</v>
      </c>
      <c r="F260" s="30">
        <f t="shared" si="10"/>
        <v>0</v>
      </c>
      <c r="G260" s="28">
        <f t="shared" si="11"/>
        <v>0</v>
      </c>
    </row>
    <row r="261" spans="1:7">
      <c r="A261" s="27">
        <v>256</v>
      </c>
      <c r="B261" s="28">
        <f>IF(A261&lt;=Analysis!$B$12,A261/Inputs!$B$15,0)</f>
        <v>0</v>
      </c>
      <c r="C261" s="29">
        <f>IF(A261&lt;=Analysis!$B$12,Analysis!$B$11+IF(A261=Analysis!$B$12,Analysis!$B$4,0),0)</f>
        <v>0</v>
      </c>
      <c r="D261" s="29">
        <f>IFERROR(IF(A261&lt;=Analysis!$B$12,1/POWER(1+Analysis!$B$18/Inputs!$B$15,A261),0),0)</f>
        <v>0</v>
      </c>
      <c r="E261" s="29">
        <f t="shared" si="9"/>
        <v>0</v>
      </c>
      <c r="F261" s="30">
        <f t="shared" si="10"/>
        <v>0</v>
      </c>
      <c r="G261" s="28">
        <f t="shared" si="11"/>
        <v>0</v>
      </c>
    </row>
    <row r="262" spans="1:7">
      <c r="A262" s="27">
        <v>257</v>
      </c>
      <c r="B262" s="28">
        <f>IF(A262&lt;=Analysis!$B$12,A262/Inputs!$B$15,0)</f>
        <v>0</v>
      </c>
      <c r="C262" s="29">
        <f>IF(A262&lt;=Analysis!$B$12,Analysis!$B$11+IF(A262=Analysis!$B$12,Analysis!$B$4,0),0)</f>
        <v>0</v>
      </c>
      <c r="D262" s="29">
        <f>IFERROR(IF(A262&lt;=Analysis!$B$12,1/POWER(1+Analysis!$B$18/Inputs!$B$15,A262),0),0)</f>
        <v>0</v>
      </c>
      <c r="E262" s="29">
        <f t="shared" ref="E262:E325" si="12">C262*D262</f>
        <v>0</v>
      </c>
      <c r="F262" s="30">
        <f t="shared" ref="F262:F325" si="13">IFERROR(E262/SUM($E$6:$E$605),0)</f>
        <v>0</v>
      </c>
      <c r="G262" s="28">
        <f t="shared" ref="G262:G325" si="14">B262*F262</f>
        <v>0</v>
      </c>
    </row>
    <row r="263" spans="1:7">
      <c r="A263" s="27">
        <v>258</v>
      </c>
      <c r="B263" s="28">
        <f>IF(A263&lt;=Analysis!$B$12,A263/Inputs!$B$15,0)</f>
        <v>0</v>
      </c>
      <c r="C263" s="29">
        <f>IF(A263&lt;=Analysis!$B$12,Analysis!$B$11+IF(A263=Analysis!$B$12,Analysis!$B$4,0),0)</f>
        <v>0</v>
      </c>
      <c r="D263" s="29">
        <f>IFERROR(IF(A263&lt;=Analysis!$B$12,1/POWER(1+Analysis!$B$18/Inputs!$B$15,A263),0),0)</f>
        <v>0</v>
      </c>
      <c r="E263" s="29">
        <f t="shared" si="12"/>
        <v>0</v>
      </c>
      <c r="F263" s="30">
        <f t="shared" si="13"/>
        <v>0</v>
      </c>
      <c r="G263" s="28">
        <f t="shared" si="14"/>
        <v>0</v>
      </c>
    </row>
    <row r="264" spans="1:7">
      <c r="A264" s="27">
        <v>259</v>
      </c>
      <c r="B264" s="28">
        <f>IF(A264&lt;=Analysis!$B$12,A264/Inputs!$B$15,0)</f>
        <v>0</v>
      </c>
      <c r="C264" s="29">
        <f>IF(A264&lt;=Analysis!$B$12,Analysis!$B$11+IF(A264=Analysis!$B$12,Analysis!$B$4,0),0)</f>
        <v>0</v>
      </c>
      <c r="D264" s="29">
        <f>IFERROR(IF(A264&lt;=Analysis!$B$12,1/POWER(1+Analysis!$B$18/Inputs!$B$15,A264),0),0)</f>
        <v>0</v>
      </c>
      <c r="E264" s="29">
        <f t="shared" si="12"/>
        <v>0</v>
      </c>
      <c r="F264" s="30">
        <f t="shared" si="13"/>
        <v>0</v>
      </c>
      <c r="G264" s="28">
        <f t="shared" si="14"/>
        <v>0</v>
      </c>
    </row>
    <row r="265" spans="1:7">
      <c r="A265" s="27">
        <v>260</v>
      </c>
      <c r="B265" s="28">
        <f>IF(A265&lt;=Analysis!$B$12,A265/Inputs!$B$15,0)</f>
        <v>0</v>
      </c>
      <c r="C265" s="29">
        <f>IF(A265&lt;=Analysis!$B$12,Analysis!$B$11+IF(A265=Analysis!$B$12,Analysis!$B$4,0),0)</f>
        <v>0</v>
      </c>
      <c r="D265" s="29">
        <f>IFERROR(IF(A265&lt;=Analysis!$B$12,1/POWER(1+Analysis!$B$18/Inputs!$B$15,A265),0),0)</f>
        <v>0</v>
      </c>
      <c r="E265" s="29">
        <f t="shared" si="12"/>
        <v>0</v>
      </c>
      <c r="F265" s="30">
        <f t="shared" si="13"/>
        <v>0</v>
      </c>
      <c r="G265" s="28">
        <f t="shared" si="14"/>
        <v>0</v>
      </c>
    </row>
    <row r="266" spans="1:7">
      <c r="A266" s="27">
        <v>261</v>
      </c>
      <c r="B266" s="28">
        <f>IF(A266&lt;=Analysis!$B$12,A266/Inputs!$B$15,0)</f>
        <v>0</v>
      </c>
      <c r="C266" s="29">
        <f>IF(A266&lt;=Analysis!$B$12,Analysis!$B$11+IF(A266=Analysis!$B$12,Analysis!$B$4,0),0)</f>
        <v>0</v>
      </c>
      <c r="D266" s="29">
        <f>IFERROR(IF(A266&lt;=Analysis!$B$12,1/POWER(1+Analysis!$B$18/Inputs!$B$15,A266),0),0)</f>
        <v>0</v>
      </c>
      <c r="E266" s="29">
        <f t="shared" si="12"/>
        <v>0</v>
      </c>
      <c r="F266" s="30">
        <f t="shared" si="13"/>
        <v>0</v>
      </c>
      <c r="G266" s="28">
        <f t="shared" si="14"/>
        <v>0</v>
      </c>
    </row>
    <row r="267" spans="1:7">
      <c r="A267" s="27">
        <v>262</v>
      </c>
      <c r="B267" s="28">
        <f>IF(A267&lt;=Analysis!$B$12,A267/Inputs!$B$15,0)</f>
        <v>0</v>
      </c>
      <c r="C267" s="29">
        <f>IF(A267&lt;=Analysis!$B$12,Analysis!$B$11+IF(A267=Analysis!$B$12,Analysis!$B$4,0),0)</f>
        <v>0</v>
      </c>
      <c r="D267" s="29">
        <f>IFERROR(IF(A267&lt;=Analysis!$B$12,1/POWER(1+Analysis!$B$18/Inputs!$B$15,A267),0),0)</f>
        <v>0</v>
      </c>
      <c r="E267" s="29">
        <f t="shared" si="12"/>
        <v>0</v>
      </c>
      <c r="F267" s="30">
        <f t="shared" si="13"/>
        <v>0</v>
      </c>
      <c r="G267" s="28">
        <f t="shared" si="14"/>
        <v>0</v>
      </c>
    </row>
    <row r="268" spans="1:7">
      <c r="A268" s="27">
        <v>263</v>
      </c>
      <c r="B268" s="28">
        <f>IF(A268&lt;=Analysis!$B$12,A268/Inputs!$B$15,0)</f>
        <v>0</v>
      </c>
      <c r="C268" s="29">
        <f>IF(A268&lt;=Analysis!$B$12,Analysis!$B$11+IF(A268=Analysis!$B$12,Analysis!$B$4,0),0)</f>
        <v>0</v>
      </c>
      <c r="D268" s="29">
        <f>IFERROR(IF(A268&lt;=Analysis!$B$12,1/POWER(1+Analysis!$B$18/Inputs!$B$15,A268),0),0)</f>
        <v>0</v>
      </c>
      <c r="E268" s="29">
        <f t="shared" si="12"/>
        <v>0</v>
      </c>
      <c r="F268" s="30">
        <f t="shared" si="13"/>
        <v>0</v>
      </c>
      <c r="G268" s="28">
        <f t="shared" si="14"/>
        <v>0</v>
      </c>
    </row>
    <row r="269" spans="1:7">
      <c r="A269" s="27">
        <v>264</v>
      </c>
      <c r="B269" s="28">
        <f>IF(A269&lt;=Analysis!$B$12,A269/Inputs!$B$15,0)</f>
        <v>0</v>
      </c>
      <c r="C269" s="29">
        <f>IF(A269&lt;=Analysis!$B$12,Analysis!$B$11+IF(A269=Analysis!$B$12,Analysis!$B$4,0),0)</f>
        <v>0</v>
      </c>
      <c r="D269" s="29">
        <f>IFERROR(IF(A269&lt;=Analysis!$B$12,1/POWER(1+Analysis!$B$18/Inputs!$B$15,A269),0),0)</f>
        <v>0</v>
      </c>
      <c r="E269" s="29">
        <f t="shared" si="12"/>
        <v>0</v>
      </c>
      <c r="F269" s="30">
        <f t="shared" si="13"/>
        <v>0</v>
      </c>
      <c r="G269" s="28">
        <f t="shared" si="14"/>
        <v>0</v>
      </c>
    </row>
    <row r="270" spans="1:7">
      <c r="A270" s="27">
        <v>265</v>
      </c>
      <c r="B270" s="28">
        <f>IF(A270&lt;=Analysis!$B$12,A270/Inputs!$B$15,0)</f>
        <v>0</v>
      </c>
      <c r="C270" s="29">
        <f>IF(A270&lt;=Analysis!$B$12,Analysis!$B$11+IF(A270=Analysis!$B$12,Analysis!$B$4,0),0)</f>
        <v>0</v>
      </c>
      <c r="D270" s="29">
        <f>IFERROR(IF(A270&lt;=Analysis!$B$12,1/POWER(1+Analysis!$B$18/Inputs!$B$15,A270),0),0)</f>
        <v>0</v>
      </c>
      <c r="E270" s="29">
        <f t="shared" si="12"/>
        <v>0</v>
      </c>
      <c r="F270" s="30">
        <f t="shared" si="13"/>
        <v>0</v>
      </c>
      <c r="G270" s="28">
        <f t="shared" si="14"/>
        <v>0</v>
      </c>
    </row>
    <row r="271" spans="1:7">
      <c r="A271" s="27">
        <v>266</v>
      </c>
      <c r="B271" s="28">
        <f>IF(A271&lt;=Analysis!$B$12,A271/Inputs!$B$15,0)</f>
        <v>0</v>
      </c>
      <c r="C271" s="29">
        <f>IF(A271&lt;=Analysis!$B$12,Analysis!$B$11+IF(A271=Analysis!$B$12,Analysis!$B$4,0),0)</f>
        <v>0</v>
      </c>
      <c r="D271" s="29">
        <f>IFERROR(IF(A271&lt;=Analysis!$B$12,1/POWER(1+Analysis!$B$18/Inputs!$B$15,A271),0),0)</f>
        <v>0</v>
      </c>
      <c r="E271" s="29">
        <f t="shared" si="12"/>
        <v>0</v>
      </c>
      <c r="F271" s="30">
        <f t="shared" si="13"/>
        <v>0</v>
      </c>
      <c r="G271" s="28">
        <f t="shared" si="14"/>
        <v>0</v>
      </c>
    </row>
    <row r="272" spans="1:7">
      <c r="A272" s="27">
        <v>267</v>
      </c>
      <c r="B272" s="28">
        <f>IF(A272&lt;=Analysis!$B$12,A272/Inputs!$B$15,0)</f>
        <v>0</v>
      </c>
      <c r="C272" s="29">
        <f>IF(A272&lt;=Analysis!$B$12,Analysis!$B$11+IF(A272=Analysis!$B$12,Analysis!$B$4,0),0)</f>
        <v>0</v>
      </c>
      <c r="D272" s="29">
        <f>IFERROR(IF(A272&lt;=Analysis!$B$12,1/POWER(1+Analysis!$B$18/Inputs!$B$15,A272),0),0)</f>
        <v>0</v>
      </c>
      <c r="E272" s="29">
        <f t="shared" si="12"/>
        <v>0</v>
      </c>
      <c r="F272" s="30">
        <f t="shared" si="13"/>
        <v>0</v>
      </c>
      <c r="G272" s="28">
        <f t="shared" si="14"/>
        <v>0</v>
      </c>
    </row>
    <row r="273" spans="1:7">
      <c r="A273" s="27">
        <v>268</v>
      </c>
      <c r="B273" s="28">
        <f>IF(A273&lt;=Analysis!$B$12,A273/Inputs!$B$15,0)</f>
        <v>0</v>
      </c>
      <c r="C273" s="29">
        <f>IF(A273&lt;=Analysis!$B$12,Analysis!$B$11+IF(A273=Analysis!$B$12,Analysis!$B$4,0),0)</f>
        <v>0</v>
      </c>
      <c r="D273" s="29">
        <f>IFERROR(IF(A273&lt;=Analysis!$B$12,1/POWER(1+Analysis!$B$18/Inputs!$B$15,A273),0),0)</f>
        <v>0</v>
      </c>
      <c r="E273" s="29">
        <f t="shared" si="12"/>
        <v>0</v>
      </c>
      <c r="F273" s="30">
        <f t="shared" si="13"/>
        <v>0</v>
      </c>
      <c r="G273" s="28">
        <f t="shared" si="14"/>
        <v>0</v>
      </c>
    </row>
    <row r="274" spans="1:7">
      <c r="A274" s="27">
        <v>269</v>
      </c>
      <c r="B274" s="28">
        <f>IF(A274&lt;=Analysis!$B$12,A274/Inputs!$B$15,0)</f>
        <v>0</v>
      </c>
      <c r="C274" s="29">
        <f>IF(A274&lt;=Analysis!$B$12,Analysis!$B$11+IF(A274=Analysis!$B$12,Analysis!$B$4,0),0)</f>
        <v>0</v>
      </c>
      <c r="D274" s="29">
        <f>IFERROR(IF(A274&lt;=Analysis!$B$12,1/POWER(1+Analysis!$B$18/Inputs!$B$15,A274),0),0)</f>
        <v>0</v>
      </c>
      <c r="E274" s="29">
        <f t="shared" si="12"/>
        <v>0</v>
      </c>
      <c r="F274" s="30">
        <f t="shared" si="13"/>
        <v>0</v>
      </c>
      <c r="G274" s="28">
        <f t="shared" si="14"/>
        <v>0</v>
      </c>
    </row>
    <row r="275" spans="1:7">
      <c r="A275" s="27">
        <v>270</v>
      </c>
      <c r="B275" s="28">
        <f>IF(A275&lt;=Analysis!$B$12,A275/Inputs!$B$15,0)</f>
        <v>0</v>
      </c>
      <c r="C275" s="29">
        <f>IF(A275&lt;=Analysis!$B$12,Analysis!$B$11+IF(A275=Analysis!$B$12,Analysis!$B$4,0),0)</f>
        <v>0</v>
      </c>
      <c r="D275" s="29">
        <f>IFERROR(IF(A275&lt;=Analysis!$B$12,1/POWER(1+Analysis!$B$18/Inputs!$B$15,A275),0),0)</f>
        <v>0</v>
      </c>
      <c r="E275" s="29">
        <f t="shared" si="12"/>
        <v>0</v>
      </c>
      <c r="F275" s="30">
        <f t="shared" si="13"/>
        <v>0</v>
      </c>
      <c r="G275" s="28">
        <f t="shared" si="14"/>
        <v>0</v>
      </c>
    </row>
    <row r="276" spans="1:7">
      <c r="A276" s="27">
        <v>271</v>
      </c>
      <c r="B276" s="28">
        <f>IF(A276&lt;=Analysis!$B$12,A276/Inputs!$B$15,0)</f>
        <v>0</v>
      </c>
      <c r="C276" s="29">
        <f>IF(A276&lt;=Analysis!$B$12,Analysis!$B$11+IF(A276=Analysis!$B$12,Analysis!$B$4,0),0)</f>
        <v>0</v>
      </c>
      <c r="D276" s="29">
        <f>IFERROR(IF(A276&lt;=Analysis!$B$12,1/POWER(1+Analysis!$B$18/Inputs!$B$15,A276),0),0)</f>
        <v>0</v>
      </c>
      <c r="E276" s="29">
        <f t="shared" si="12"/>
        <v>0</v>
      </c>
      <c r="F276" s="30">
        <f t="shared" si="13"/>
        <v>0</v>
      </c>
      <c r="G276" s="28">
        <f t="shared" si="14"/>
        <v>0</v>
      </c>
    </row>
    <row r="277" spans="1:7">
      <c r="A277" s="27">
        <v>272</v>
      </c>
      <c r="B277" s="28">
        <f>IF(A277&lt;=Analysis!$B$12,A277/Inputs!$B$15,0)</f>
        <v>0</v>
      </c>
      <c r="C277" s="29">
        <f>IF(A277&lt;=Analysis!$B$12,Analysis!$B$11+IF(A277=Analysis!$B$12,Analysis!$B$4,0),0)</f>
        <v>0</v>
      </c>
      <c r="D277" s="29">
        <f>IFERROR(IF(A277&lt;=Analysis!$B$12,1/POWER(1+Analysis!$B$18/Inputs!$B$15,A277),0),0)</f>
        <v>0</v>
      </c>
      <c r="E277" s="29">
        <f t="shared" si="12"/>
        <v>0</v>
      </c>
      <c r="F277" s="30">
        <f t="shared" si="13"/>
        <v>0</v>
      </c>
      <c r="G277" s="28">
        <f t="shared" si="14"/>
        <v>0</v>
      </c>
    </row>
    <row r="278" spans="1:7">
      <c r="A278" s="27">
        <v>273</v>
      </c>
      <c r="B278" s="28">
        <f>IF(A278&lt;=Analysis!$B$12,A278/Inputs!$B$15,0)</f>
        <v>0</v>
      </c>
      <c r="C278" s="29">
        <f>IF(A278&lt;=Analysis!$B$12,Analysis!$B$11+IF(A278=Analysis!$B$12,Analysis!$B$4,0),0)</f>
        <v>0</v>
      </c>
      <c r="D278" s="29">
        <f>IFERROR(IF(A278&lt;=Analysis!$B$12,1/POWER(1+Analysis!$B$18/Inputs!$B$15,A278),0),0)</f>
        <v>0</v>
      </c>
      <c r="E278" s="29">
        <f t="shared" si="12"/>
        <v>0</v>
      </c>
      <c r="F278" s="30">
        <f t="shared" si="13"/>
        <v>0</v>
      </c>
      <c r="G278" s="28">
        <f t="shared" si="14"/>
        <v>0</v>
      </c>
    </row>
    <row r="279" spans="1:7">
      <c r="A279" s="27">
        <v>274</v>
      </c>
      <c r="B279" s="28">
        <f>IF(A279&lt;=Analysis!$B$12,A279/Inputs!$B$15,0)</f>
        <v>0</v>
      </c>
      <c r="C279" s="29">
        <f>IF(A279&lt;=Analysis!$B$12,Analysis!$B$11+IF(A279=Analysis!$B$12,Analysis!$B$4,0),0)</f>
        <v>0</v>
      </c>
      <c r="D279" s="29">
        <f>IFERROR(IF(A279&lt;=Analysis!$B$12,1/POWER(1+Analysis!$B$18/Inputs!$B$15,A279),0),0)</f>
        <v>0</v>
      </c>
      <c r="E279" s="29">
        <f t="shared" si="12"/>
        <v>0</v>
      </c>
      <c r="F279" s="30">
        <f t="shared" si="13"/>
        <v>0</v>
      </c>
      <c r="G279" s="28">
        <f t="shared" si="14"/>
        <v>0</v>
      </c>
    </row>
    <row r="280" spans="1:7">
      <c r="A280" s="27">
        <v>275</v>
      </c>
      <c r="B280" s="28">
        <f>IF(A280&lt;=Analysis!$B$12,A280/Inputs!$B$15,0)</f>
        <v>0</v>
      </c>
      <c r="C280" s="29">
        <f>IF(A280&lt;=Analysis!$B$12,Analysis!$B$11+IF(A280=Analysis!$B$12,Analysis!$B$4,0),0)</f>
        <v>0</v>
      </c>
      <c r="D280" s="29">
        <f>IFERROR(IF(A280&lt;=Analysis!$B$12,1/POWER(1+Analysis!$B$18/Inputs!$B$15,A280),0),0)</f>
        <v>0</v>
      </c>
      <c r="E280" s="29">
        <f t="shared" si="12"/>
        <v>0</v>
      </c>
      <c r="F280" s="30">
        <f t="shared" si="13"/>
        <v>0</v>
      </c>
      <c r="G280" s="28">
        <f t="shared" si="14"/>
        <v>0</v>
      </c>
    </row>
    <row r="281" spans="1:7">
      <c r="A281" s="27">
        <v>276</v>
      </c>
      <c r="B281" s="28">
        <f>IF(A281&lt;=Analysis!$B$12,A281/Inputs!$B$15,0)</f>
        <v>0</v>
      </c>
      <c r="C281" s="29">
        <f>IF(A281&lt;=Analysis!$B$12,Analysis!$B$11+IF(A281=Analysis!$B$12,Analysis!$B$4,0),0)</f>
        <v>0</v>
      </c>
      <c r="D281" s="29">
        <f>IFERROR(IF(A281&lt;=Analysis!$B$12,1/POWER(1+Analysis!$B$18/Inputs!$B$15,A281),0),0)</f>
        <v>0</v>
      </c>
      <c r="E281" s="29">
        <f t="shared" si="12"/>
        <v>0</v>
      </c>
      <c r="F281" s="30">
        <f t="shared" si="13"/>
        <v>0</v>
      </c>
      <c r="G281" s="28">
        <f t="shared" si="14"/>
        <v>0</v>
      </c>
    </row>
    <row r="282" spans="1:7">
      <c r="A282" s="27">
        <v>277</v>
      </c>
      <c r="B282" s="28">
        <f>IF(A282&lt;=Analysis!$B$12,A282/Inputs!$B$15,0)</f>
        <v>0</v>
      </c>
      <c r="C282" s="29">
        <f>IF(A282&lt;=Analysis!$B$12,Analysis!$B$11+IF(A282=Analysis!$B$12,Analysis!$B$4,0),0)</f>
        <v>0</v>
      </c>
      <c r="D282" s="29">
        <f>IFERROR(IF(A282&lt;=Analysis!$B$12,1/POWER(1+Analysis!$B$18/Inputs!$B$15,A282),0),0)</f>
        <v>0</v>
      </c>
      <c r="E282" s="29">
        <f t="shared" si="12"/>
        <v>0</v>
      </c>
      <c r="F282" s="30">
        <f t="shared" si="13"/>
        <v>0</v>
      </c>
      <c r="G282" s="28">
        <f t="shared" si="14"/>
        <v>0</v>
      </c>
    </row>
    <row r="283" spans="1:7">
      <c r="A283" s="27">
        <v>278</v>
      </c>
      <c r="B283" s="28">
        <f>IF(A283&lt;=Analysis!$B$12,A283/Inputs!$B$15,0)</f>
        <v>0</v>
      </c>
      <c r="C283" s="29">
        <f>IF(A283&lt;=Analysis!$B$12,Analysis!$B$11+IF(A283=Analysis!$B$12,Analysis!$B$4,0),0)</f>
        <v>0</v>
      </c>
      <c r="D283" s="29">
        <f>IFERROR(IF(A283&lt;=Analysis!$B$12,1/POWER(1+Analysis!$B$18/Inputs!$B$15,A283),0),0)</f>
        <v>0</v>
      </c>
      <c r="E283" s="29">
        <f t="shared" si="12"/>
        <v>0</v>
      </c>
      <c r="F283" s="30">
        <f t="shared" si="13"/>
        <v>0</v>
      </c>
      <c r="G283" s="28">
        <f t="shared" si="14"/>
        <v>0</v>
      </c>
    </row>
    <row r="284" spans="1:7">
      <c r="A284" s="27">
        <v>279</v>
      </c>
      <c r="B284" s="28">
        <f>IF(A284&lt;=Analysis!$B$12,A284/Inputs!$B$15,0)</f>
        <v>0</v>
      </c>
      <c r="C284" s="29">
        <f>IF(A284&lt;=Analysis!$B$12,Analysis!$B$11+IF(A284=Analysis!$B$12,Analysis!$B$4,0),0)</f>
        <v>0</v>
      </c>
      <c r="D284" s="29">
        <f>IFERROR(IF(A284&lt;=Analysis!$B$12,1/POWER(1+Analysis!$B$18/Inputs!$B$15,A284),0),0)</f>
        <v>0</v>
      </c>
      <c r="E284" s="29">
        <f t="shared" si="12"/>
        <v>0</v>
      </c>
      <c r="F284" s="30">
        <f t="shared" si="13"/>
        <v>0</v>
      </c>
      <c r="G284" s="28">
        <f t="shared" si="14"/>
        <v>0</v>
      </c>
    </row>
    <row r="285" spans="1:7">
      <c r="A285" s="27">
        <v>280</v>
      </c>
      <c r="B285" s="28">
        <f>IF(A285&lt;=Analysis!$B$12,A285/Inputs!$B$15,0)</f>
        <v>0</v>
      </c>
      <c r="C285" s="29">
        <f>IF(A285&lt;=Analysis!$B$12,Analysis!$B$11+IF(A285=Analysis!$B$12,Analysis!$B$4,0),0)</f>
        <v>0</v>
      </c>
      <c r="D285" s="29">
        <f>IFERROR(IF(A285&lt;=Analysis!$B$12,1/POWER(1+Analysis!$B$18/Inputs!$B$15,A285),0),0)</f>
        <v>0</v>
      </c>
      <c r="E285" s="29">
        <f t="shared" si="12"/>
        <v>0</v>
      </c>
      <c r="F285" s="30">
        <f t="shared" si="13"/>
        <v>0</v>
      </c>
      <c r="G285" s="28">
        <f t="shared" si="14"/>
        <v>0</v>
      </c>
    </row>
    <row r="286" spans="1:7">
      <c r="A286" s="27">
        <v>281</v>
      </c>
      <c r="B286" s="28">
        <f>IF(A286&lt;=Analysis!$B$12,A286/Inputs!$B$15,0)</f>
        <v>0</v>
      </c>
      <c r="C286" s="29">
        <f>IF(A286&lt;=Analysis!$B$12,Analysis!$B$11+IF(A286=Analysis!$B$12,Analysis!$B$4,0),0)</f>
        <v>0</v>
      </c>
      <c r="D286" s="29">
        <f>IFERROR(IF(A286&lt;=Analysis!$B$12,1/POWER(1+Analysis!$B$18/Inputs!$B$15,A286),0),0)</f>
        <v>0</v>
      </c>
      <c r="E286" s="29">
        <f t="shared" si="12"/>
        <v>0</v>
      </c>
      <c r="F286" s="30">
        <f t="shared" si="13"/>
        <v>0</v>
      </c>
      <c r="G286" s="28">
        <f t="shared" si="14"/>
        <v>0</v>
      </c>
    </row>
    <row r="287" spans="1:7">
      <c r="A287" s="27">
        <v>282</v>
      </c>
      <c r="B287" s="28">
        <f>IF(A287&lt;=Analysis!$B$12,A287/Inputs!$B$15,0)</f>
        <v>0</v>
      </c>
      <c r="C287" s="29">
        <f>IF(A287&lt;=Analysis!$B$12,Analysis!$B$11+IF(A287=Analysis!$B$12,Analysis!$B$4,0),0)</f>
        <v>0</v>
      </c>
      <c r="D287" s="29">
        <f>IFERROR(IF(A287&lt;=Analysis!$B$12,1/POWER(1+Analysis!$B$18/Inputs!$B$15,A287),0),0)</f>
        <v>0</v>
      </c>
      <c r="E287" s="29">
        <f t="shared" si="12"/>
        <v>0</v>
      </c>
      <c r="F287" s="30">
        <f t="shared" si="13"/>
        <v>0</v>
      </c>
      <c r="G287" s="28">
        <f t="shared" si="14"/>
        <v>0</v>
      </c>
    </row>
    <row r="288" spans="1:7">
      <c r="A288" s="27">
        <v>283</v>
      </c>
      <c r="B288" s="28">
        <f>IF(A288&lt;=Analysis!$B$12,A288/Inputs!$B$15,0)</f>
        <v>0</v>
      </c>
      <c r="C288" s="29">
        <f>IF(A288&lt;=Analysis!$B$12,Analysis!$B$11+IF(A288=Analysis!$B$12,Analysis!$B$4,0),0)</f>
        <v>0</v>
      </c>
      <c r="D288" s="29">
        <f>IFERROR(IF(A288&lt;=Analysis!$B$12,1/POWER(1+Analysis!$B$18/Inputs!$B$15,A288),0),0)</f>
        <v>0</v>
      </c>
      <c r="E288" s="29">
        <f t="shared" si="12"/>
        <v>0</v>
      </c>
      <c r="F288" s="30">
        <f t="shared" si="13"/>
        <v>0</v>
      </c>
      <c r="G288" s="28">
        <f t="shared" si="14"/>
        <v>0</v>
      </c>
    </row>
    <row r="289" spans="1:7">
      <c r="A289" s="27">
        <v>284</v>
      </c>
      <c r="B289" s="28">
        <f>IF(A289&lt;=Analysis!$B$12,A289/Inputs!$B$15,0)</f>
        <v>0</v>
      </c>
      <c r="C289" s="29">
        <f>IF(A289&lt;=Analysis!$B$12,Analysis!$B$11+IF(A289=Analysis!$B$12,Analysis!$B$4,0),0)</f>
        <v>0</v>
      </c>
      <c r="D289" s="29">
        <f>IFERROR(IF(A289&lt;=Analysis!$B$12,1/POWER(1+Analysis!$B$18/Inputs!$B$15,A289),0),0)</f>
        <v>0</v>
      </c>
      <c r="E289" s="29">
        <f t="shared" si="12"/>
        <v>0</v>
      </c>
      <c r="F289" s="30">
        <f t="shared" si="13"/>
        <v>0</v>
      </c>
      <c r="G289" s="28">
        <f t="shared" si="14"/>
        <v>0</v>
      </c>
    </row>
    <row r="290" spans="1:7">
      <c r="A290" s="27">
        <v>285</v>
      </c>
      <c r="B290" s="28">
        <f>IF(A290&lt;=Analysis!$B$12,A290/Inputs!$B$15,0)</f>
        <v>0</v>
      </c>
      <c r="C290" s="29">
        <f>IF(A290&lt;=Analysis!$B$12,Analysis!$B$11+IF(A290=Analysis!$B$12,Analysis!$B$4,0),0)</f>
        <v>0</v>
      </c>
      <c r="D290" s="29">
        <f>IFERROR(IF(A290&lt;=Analysis!$B$12,1/POWER(1+Analysis!$B$18/Inputs!$B$15,A290),0),0)</f>
        <v>0</v>
      </c>
      <c r="E290" s="29">
        <f t="shared" si="12"/>
        <v>0</v>
      </c>
      <c r="F290" s="30">
        <f t="shared" si="13"/>
        <v>0</v>
      </c>
      <c r="G290" s="28">
        <f t="shared" si="14"/>
        <v>0</v>
      </c>
    </row>
    <row r="291" spans="1:7">
      <c r="A291" s="27">
        <v>286</v>
      </c>
      <c r="B291" s="28">
        <f>IF(A291&lt;=Analysis!$B$12,A291/Inputs!$B$15,0)</f>
        <v>0</v>
      </c>
      <c r="C291" s="29">
        <f>IF(A291&lt;=Analysis!$B$12,Analysis!$B$11+IF(A291=Analysis!$B$12,Analysis!$B$4,0),0)</f>
        <v>0</v>
      </c>
      <c r="D291" s="29">
        <f>IFERROR(IF(A291&lt;=Analysis!$B$12,1/POWER(1+Analysis!$B$18/Inputs!$B$15,A291),0),0)</f>
        <v>0</v>
      </c>
      <c r="E291" s="29">
        <f t="shared" si="12"/>
        <v>0</v>
      </c>
      <c r="F291" s="30">
        <f t="shared" si="13"/>
        <v>0</v>
      </c>
      <c r="G291" s="28">
        <f t="shared" si="14"/>
        <v>0</v>
      </c>
    </row>
    <row r="292" spans="1:7">
      <c r="A292" s="27">
        <v>287</v>
      </c>
      <c r="B292" s="28">
        <f>IF(A292&lt;=Analysis!$B$12,A292/Inputs!$B$15,0)</f>
        <v>0</v>
      </c>
      <c r="C292" s="29">
        <f>IF(A292&lt;=Analysis!$B$12,Analysis!$B$11+IF(A292=Analysis!$B$12,Analysis!$B$4,0),0)</f>
        <v>0</v>
      </c>
      <c r="D292" s="29">
        <f>IFERROR(IF(A292&lt;=Analysis!$B$12,1/POWER(1+Analysis!$B$18/Inputs!$B$15,A292),0),0)</f>
        <v>0</v>
      </c>
      <c r="E292" s="29">
        <f t="shared" si="12"/>
        <v>0</v>
      </c>
      <c r="F292" s="30">
        <f t="shared" si="13"/>
        <v>0</v>
      </c>
      <c r="G292" s="28">
        <f t="shared" si="14"/>
        <v>0</v>
      </c>
    </row>
    <row r="293" spans="1:7">
      <c r="A293" s="27">
        <v>288</v>
      </c>
      <c r="B293" s="28">
        <f>IF(A293&lt;=Analysis!$B$12,A293/Inputs!$B$15,0)</f>
        <v>0</v>
      </c>
      <c r="C293" s="29">
        <f>IF(A293&lt;=Analysis!$B$12,Analysis!$B$11+IF(A293=Analysis!$B$12,Analysis!$B$4,0),0)</f>
        <v>0</v>
      </c>
      <c r="D293" s="29">
        <f>IFERROR(IF(A293&lt;=Analysis!$B$12,1/POWER(1+Analysis!$B$18/Inputs!$B$15,A293),0),0)</f>
        <v>0</v>
      </c>
      <c r="E293" s="29">
        <f t="shared" si="12"/>
        <v>0</v>
      </c>
      <c r="F293" s="30">
        <f t="shared" si="13"/>
        <v>0</v>
      </c>
      <c r="G293" s="28">
        <f t="shared" si="14"/>
        <v>0</v>
      </c>
    </row>
    <row r="294" spans="1:7">
      <c r="A294" s="27">
        <v>289</v>
      </c>
      <c r="B294" s="28">
        <f>IF(A294&lt;=Analysis!$B$12,A294/Inputs!$B$15,0)</f>
        <v>0</v>
      </c>
      <c r="C294" s="29">
        <f>IF(A294&lt;=Analysis!$B$12,Analysis!$B$11+IF(A294=Analysis!$B$12,Analysis!$B$4,0),0)</f>
        <v>0</v>
      </c>
      <c r="D294" s="29">
        <f>IFERROR(IF(A294&lt;=Analysis!$B$12,1/POWER(1+Analysis!$B$18/Inputs!$B$15,A294),0),0)</f>
        <v>0</v>
      </c>
      <c r="E294" s="29">
        <f t="shared" si="12"/>
        <v>0</v>
      </c>
      <c r="F294" s="30">
        <f t="shared" si="13"/>
        <v>0</v>
      </c>
      <c r="G294" s="28">
        <f t="shared" si="14"/>
        <v>0</v>
      </c>
    </row>
    <row r="295" spans="1:7">
      <c r="A295" s="27">
        <v>290</v>
      </c>
      <c r="B295" s="28">
        <f>IF(A295&lt;=Analysis!$B$12,A295/Inputs!$B$15,0)</f>
        <v>0</v>
      </c>
      <c r="C295" s="29">
        <f>IF(A295&lt;=Analysis!$B$12,Analysis!$B$11+IF(A295=Analysis!$B$12,Analysis!$B$4,0),0)</f>
        <v>0</v>
      </c>
      <c r="D295" s="29">
        <f>IFERROR(IF(A295&lt;=Analysis!$B$12,1/POWER(1+Analysis!$B$18/Inputs!$B$15,A295),0),0)</f>
        <v>0</v>
      </c>
      <c r="E295" s="29">
        <f t="shared" si="12"/>
        <v>0</v>
      </c>
      <c r="F295" s="30">
        <f t="shared" si="13"/>
        <v>0</v>
      </c>
      <c r="G295" s="28">
        <f t="shared" si="14"/>
        <v>0</v>
      </c>
    </row>
    <row r="296" spans="1:7">
      <c r="A296" s="27">
        <v>291</v>
      </c>
      <c r="B296" s="28">
        <f>IF(A296&lt;=Analysis!$B$12,A296/Inputs!$B$15,0)</f>
        <v>0</v>
      </c>
      <c r="C296" s="29">
        <f>IF(A296&lt;=Analysis!$B$12,Analysis!$B$11+IF(A296=Analysis!$B$12,Analysis!$B$4,0),0)</f>
        <v>0</v>
      </c>
      <c r="D296" s="29">
        <f>IFERROR(IF(A296&lt;=Analysis!$B$12,1/POWER(1+Analysis!$B$18/Inputs!$B$15,A296),0),0)</f>
        <v>0</v>
      </c>
      <c r="E296" s="29">
        <f t="shared" si="12"/>
        <v>0</v>
      </c>
      <c r="F296" s="30">
        <f t="shared" si="13"/>
        <v>0</v>
      </c>
      <c r="G296" s="28">
        <f t="shared" si="14"/>
        <v>0</v>
      </c>
    </row>
    <row r="297" spans="1:7">
      <c r="A297" s="27">
        <v>292</v>
      </c>
      <c r="B297" s="28">
        <f>IF(A297&lt;=Analysis!$B$12,A297/Inputs!$B$15,0)</f>
        <v>0</v>
      </c>
      <c r="C297" s="29">
        <f>IF(A297&lt;=Analysis!$B$12,Analysis!$B$11+IF(A297=Analysis!$B$12,Analysis!$B$4,0),0)</f>
        <v>0</v>
      </c>
      <c r="D297" s="29">
        <f>IFERROR(IF(A297&lt;=Analysis!$B$12,1/POWER(1+Analysis!$B$18/Inputs!$B$15,A297),0),0)</f>
        <v>0</v>
      </c>
      <c r="E297" s="29">
        <f t="shared" si="12"/>
        <v>0</v>
      </c>
      <c r="F297" s="30">
        <f t="shared" si="13"/>
        <v>0</v>
      </c>
      <c r="G297" s="28">
        <f t="shared" si="14"/>
        <v>0</v>
      </c>
    </row>
    <row r="298" spans="1:7">
      <c r="A298" s="27">
        <v>293</v>
      </c>
      <c r="B298" s="28">
        <f>IF(A298&lt;=Analysis!$B$12,A298/Inputs!$B$15,0)</f>
        <v>0</v>
      </c>
      <c r="C298" s="29">
        <f>IF(A298&lt;=Analysis!$B$12,Analysis!$B$11+IF(A298=Analysis!$B$12,Analysis!$B$4,0),0)</f>
        <v>0</v>
      </c>
      <c r="D298" s="29">
        <f>IFERROR(IF(A298&lt;=Analysis!$B$12,1/POWER(1+Analysis!$B$18/Inputs!$B$15,A298),0),0)</f>
        <v>0</v>
      </c>
      <c r="E298" s="29">
        <f t="shared" si="12"/>
        <v>0</v>
      </c>
      <c r="F298" s="30">
        <f t="shared" si="13"/>
        <v>0</v>
      </c>
      <c r="G298" s="28">
        <f t="shared" si="14"/>
        <v>0</v>
      </c>
    </row>
    <row r="299" spans="1:7">
      <c r="A299" s="27">
        <v>294</v>
      </c>
      <c r="B299" s="28">
        <f>IF(A299&lt;=Analysis!$B$12,A299/Inputs!$B$15,0)</f>
        <v>0</v>
      </c>
      <c r="C299" s="29">
        <f>IF(A299&lt;=Analysis!$B$12,Analysis!$B$11+IF(A299=Analysis!$B$12,Analysis!$B$4,0),0)</f>
        <v>0</v>
      </c>
      <c r="D299" s="29">
        <f>IFERROR(IF(A299&lt;=Analysis!$B$12,1/POWER(1+Analysis!$B$18/Inputs!$B$15,A299),0),0)</f>
        <v>0</v>
      </c>
      <c r="E299" s="29">
        <f t="shared" si="12"/>
        <v>0</v>
      </c>
      <c r="F299" s="30">
        <f t="shared" si="13"/>
        <v>0</v>
      </c>
      <c r="G299" s="28">
        <f t="shared" si="14"/>
        <v>0</v>
      </c>
    </row>
    <row r="300" spans="1:7">
      <c r="A300" s="27">
        <v>295</v>
      </c>
      <c r="B300" s="28">
        <f>IF(A300&lt;=Analysis!$B$12,A300/Inputs!$B$15,0)</f>
        <v>0</v>
      </c>
      <c r="C300" s="29">
        <f>IF(A300&lt;=Analysis!$B$12,Analysis!$B$11+IF(A300=Analysis!$B$12,Analysis!$B$4,0),0)</f>
        <v>0</v>
      </c>
      <c r="D300" s="29">
        <f>IFERROR(IF(A300&lt;=Analysis!$B$12,1/POWER(1+Analysis!$B$18/Inputs!$B$15,A300),0),0)</f>
        <v>0</v>
      </c>
      <c r="E300" s="29">
        <f t="shared" si="12"/>
        <v>0</v>
      </c>
      <c r="F300" s="30">
        <f t="shared" si="13"/>
        <v>0</v>
      </c>
      <c r="G300" s="28">
        <f t="shared" si="14"/>
        <v>0</v>
      </c>
    </row>
    <row r="301" spans="1:7">
      <c r="A301" s="27">
        <v>296</v>
      </c>
      <c r="B301" s="28">
        <f>IF(A301&lt;=Analysis!$B$12,A301/Inputs!$B$15,0)</f>
        <v>0</v>
      </c>
      <c r="C301" s="29">
        <f>IF(A301&lt;=Analysis!$B$12,Analysis!$B$11+IF(A301=Analysis!$B$12,Analysis!$B$4,0),0)</f>
        <v>0</v>
      </c>
      <c r="D301" s="29">
        <f>IFERROR(IF(A301&lt;=Analysis!$B$12,1/POWER(1+Analysis!$B$18/Inputs!$B$15,A301),0),0)</f>
        <v>0</v>
      </c>
      <c r="E301" s="29">
        <f t="shared" si="12"/>
        <v>0</v>
      </c>
      <c r="F301" s="30">
        <f t="shared" si="13"/>
        <v>0</v>
      </c>
      <c r="G301" s="28">
        <f t="shared" si="14"/>
        <v>0</v>
      </c>
    </row>
    <row r="302" spans="1:7">
      <c r="A302" s="27">
        <v>297</v>
      </c>
      <c r="B302" s="28">
        <f>IF(A302&lt;=Analysis!$B$12,A302/Inputs!$B$15,0)</f>
        <v>0</v>
      </c>
      <c r="C302" s="29">
        <f>IF(A302&lt;=Analysis!$B$12,Analysis!$B$11+IF(A302=Analysis!$B$12,Analysis!$B$4,0),0)</f>
        <v>0</v>
      </c>
      <c r="D302" s="29">
        <f>IFERROR(IF(A302&lt;=Analysis!$B$12,1/POWER(1+Analysis!$B$18/Inputs!$B$15,A302),0),0)</f>
        <v>0</v>
      </c>
      <c r="E302" s="29">
        <f t="shared" si="12"/>
        <v>0</v>
      </c>
      <c r="F302" s="30">
        <f t="shared" si="13"/>
        <v>0</v>
      </c>
      <c r="G302" s="28">
        <f t="shared" si="14"/>
        <v>0</v>
      </c>
    </row>
    <row r="303" spans="1:7">
      <c r="A303" s="27">
        <v>298</v>
      </c>
      <c r="B303" s="28">
        <f>IF(A303&lt;=Analysis!$B$12,A303/Inputs!$B$15,0)</f>
        <v>0</v>
      </c>
      <c r="C303" s="29">
        <f>IF(A303&lt;=Analysis!$B$12,Analysis!$B$11+IF(A303=Analysis!$B$12,Analysis!$B$4,0),0)</f>
        <v>0</v>
      </c>
      <c r="D303" s="29">
        <f>IFERROR(IF(A303&lt;=Analysis!$B$12,1/POWER(1+Analysis!$B$18/Inputs!$B$15,A303),0),0)</f>
        <v>0</v>
      </c>
      <c r="E303" s="29">
        <f t="shared" si="12"/>
        <v>0</v>
      </c>
      <c r="F303" s="30">
        <f t="shared" si="13"/>
        <v>0</v>
      </c>
      <c r="G303" s="28">
        <f t="shared" si="14"/>
        <v>0</v>
      </c>
    </row>
    <row r="304" spans="1:7">
      <c r="A304" s="27">
        <v>299</v>
      </c>
      <c r="B304" s="28">
        <f>IF(A304&lt;=Analysis!$B$12,A304/Inputs!$B$15,0)</f>
        <v>0</v>
      </c>
      <c r="C304" s="29">
        <f>IF(A304&lt;=Analysis!$B$12,Analysis!$B$11+IF(A304=Analysis!$B$12,Analysis!$B$4,0),0)</f>
        <v>0</v>
      </c>
      <c r="D304" s="29">
        <f>IFERROR(IF(A304&lt;=Analysis!$B$12,1/POWER(1+Analysis!$B$18/Inputs!$B$15,A304),0),0)</f>
        <v>0</v>
      </c>
      <c r="E304" s="29">
        <f t="shared" si="12"/>
        <v>0</v>
      </c>
      <c r="F304" s="30">
        <f t="shared" si="13"/>
        <v>0</v>
      </c>
      <c r="G304" s="28">
        <f t="shared" si="14"/>
        <v>0</v>
      </c>
    </row>
    <row r="305" spans="1:7">
      <c r="A305" s="27">
        <v>300</v>
      </c>
      <c r="B305" s="28">
        <f>IF(A305&lt;=Analysis!$B$12,A305/Inputs!$B$15,0)</f>
        <v>0</v>
      </c>
      <c r="C305" s="29">
        <f>IF(A305&lt;=Analysis!$B$12,Analysis!$B$11+IF(A305=Analysis!$B$12,Analysis!$B$4,0),0)</f>
        <v>0</v>
      </c>
      <c r="D305" s="29">
        <f>IFERROR(IF(A305&lt;=Analysis!$B$12,1/POWER(1+Analysis!$B$18/Inputs!$B$15,A305),0),0)</f>
        <v>0</v>
      </c>
      <c r="E305" s="29">
        <f t="shared" si="12"/>
        <v>0</v>
      </c>
      <c r="F305" s="30">
        <f t="shared" si="13"/>
        <v>0</v>
      </c>
      <c r="G305" s="28">
        <f t="shared" si="14"/>
        <v>0</v>
      </c>
    </row>
    <row r="306" spans="1:7">
      <c r="A306" s="27">
        <v>301</v>
      </c>
      <c r="B306" s="28">
        <f>IF(A306&lt;=Analysis!$B$12,A306/Inputs!$B$15,0)</f>
        <v>0</v>
      </c>
      <c r="C306" s="29">
        <f>IF(A306&lt;=Analysis!$B$12,Analysis!$B$11+IF(A306=Analysis!$B$12,Analysis!$B$4,0),0)</f>
        <v>0</v>
      </c>
      <c r="D306" s="29">
        <f>IFERROR(IF(A306&lt;=Analysis!$B$12,1/POWER(1+Analysis!$B$18/Inputs!$B$15,A306),0),0)</f>
        <v>0</v>
      </c>
      <c r="E306" s="29">
        <f t="shared" si="12"/>
        <v>0</v>
      </c>
      <c r="F306" s="30">
        <f t="shared" si="13"/>
        <v>0</v>
      </c>
      <c r="G306" s="28">
        <f t="shared" si="14"/>
        <v>0</v>
      </c>
    </row>
    <row r="307" spans="1:7">
      <c r="A307" s="27">
        <v>302</v>
      </c>
      <c r="B307" s="28">
        <f>IF(A307&lt;=Analysis!$B$12,A307/Inputs!$B$15,0)</f>
        <v>0</v>
      </c>
      <c r="C307" s="29">
        <f>IF(A307&lt;=Analysis!$B$12,Analysis!$B$11+IF(A307=Analysis!$B$12,Analysis!$B$4,0),0)</f>
        <v>0</v>
      </c>
      <c r="D307" s="29">
        <f>IFERROR(IF(A307&lt;=Analysis!$B$12,1/POWER(1+Analysis!$B$18/Inputs!$B$15,A307),0),0)</f>
        <v>0</v>
      </c>
      <c r="E307" s="29">
        <f t="shared" si="12"/>
        <v>0</v>
      </c>
      <c r="F307" s="30">
        <f t="shared" si="13"/>
        <v>0</v>
      </c>
      <c r="G307" s="28">
        <f t="shared" si="14"/>
        <v>0</v>
      </c>
    </row>
    <row r="308" spans="1:7">
      <c r="A308" s="27">
        <v>303</v>
      </c>
      <c r="B308" s="28">
        <f>IF(A308&lt;=Analysis!$B$12,A308/Inputs!$B$15,0)</f>
        <v>0</v>
      </c>
      <c r="C308" s="29">
        <f>IF(A308&lt;=Analysis!$B$12,Analysis!$B$11+IF(A308=Analysis!$B$12,Analysis!$B$4,0),0)</f>
        <v>0</v>
      </c>
      <c r="D308" s="29">
        <f>IFERROR(IF(A308&lt;=Analysis!$B$12,1/POWER(1+Analysis!$B$18/Inputs!$B$15,A308),0),0)</f>
        <v>0</v>
      </c>
      <c r="E308" s="29">
        <f t="shared" si="12"/>
        <v>0</v>
      </c>
      <c r="F308" s="30">
        <f t="shared" si="13"/>
        <v>0</v>
      </c>
      <c r="G308" s="28">
        <f t="shared" si="14"/>
        <v>0</v>
      </c>
    </row>
    <row r="309" spans="1:7">
      <c r="A309" s="27">
        <v>304</v>
      </c>
      <c r="B309" s="28">
        <f>IF(A309&lt;=Analysis!$B$12,A309/Inputs!$B$15,0)</f>
        <v>0</v>
      </c>
      <c r="C309" s="29">
        <f>IF(A309&lt;=Analysis!$B$12,Analysis!$B$11+IF(A309=Analysis!$B$12,Analysis!$B$4,0),0)</f>
        <v>0</v>
      </c>
      <c r="D309" s="29">
        <f>IFERROR(IF(A309&lt;=Analysis!$B$12,1/POWER(1+Analysis!$B$18/Inputs!$B$15,A309),0),0)</f>
        <v>0</v>
      </c>
      <c r="E309" s="29">
        <f t="shared" si="12"/>
        <v>0</v>
      </c>
      <c r="F309" s="30">
        <f t="shared" si="13"/>
        <v>0</v>
      </c>
      <c r="G309" s="28">
        <f t="shared" si="14"/>
        <v>0</v>
      </c>
    </row>
    <row r="310" spans="1:7">
      <c r="A310" s="27">
        <v>305</v>
      </c>
      <c r="B310" s="28">
        <f>IF(A310&lt;=Analysis!$B$12,A310/Inputs!$B$15,0)</f>
        <v>0</v>
      </c>
      <c r="C310" s="29">
        <f>IF(A310&lt;=Analysis!$B$12,Analysis!$B$11+IF(A310=Analysis!$B$12,Analysis!$B$4,0),0)</f>
        <v>0</v>
      </c>
      <c r="D310" s="29">
        <f>IFERROR(IF(A310&lt;=Analysis!$B$12,1/POWER(1+Analysis!$B$18/Inputs!$B$15,A310),0),0)</f>
        <v>0</v>
      </c>
      <c r="E310" s="29">
        <f t="shared" si="12"/>
        <v>0</v>
      </c>
      <c r="F310" s="30">
        <f t="shared" si="13"/>
        <v>0</v>
      </c>
      <c r="G310" s="28">
        <f t="shared" si="14"/>
        <v>0</v>
      </c>
    </row>
    <row r="311" spans="1:7">
      <c r="A311" s="27">
        <v>306</v>
      </c>
      <c r="B311" s="28">
        <f>IF(A311&lt;=Analysis!$B$12,A311/Inputs!$B$15,0)</f>
        <v>0</v>
      </c>
      <c r="C311" s="29">
        <f>IF(A311&lt;=Analysis!$B$12,Analysis!$B$11+IF(A311=Analysis!$B$12,Analysis!$B$4,0),0)</f>
        <v>0</v>
      </c>
      <c r="D311" s="29">
        <f>IFERROR(IF(A311&lt;=Analysis!$B$12,1/POWER(1+Analysis!$B$18/Inputs!$B$15,A311),0),0)</f>
        <v>0</v>
      </c>
      <c r="E311" s="29">
        <f t="shared" si="12"/>
        <v>0</v>
      </c>
      <c r="F311" s="30">
        <f t="shared" si="13"/>
        <v>0</v>
      </c>
      <c r="G311" s="28">
        <f t="shared" si="14"/>
        <v>0</v>
      </c>
    </row>
    <row r="312" spans="1:7">
      <c r="A312" s="27">
        <v>307</v>
      </c>
      <c r="B312" s="28">
        <f>IF(A312&lt;=Analysis!$B$12,A312/Inputs!$B$15,0)</f>
        <v>0</v>
      </c>
      <c r="C312" s="29">
        <f>IF(A312&lt;=Analysis!$B$12,Analysis!$B$11+IF(A312=Analysis!$B$12,Analysis!$B$4,0),0)</f>
        <v>0</v>
      </c>
      <c r="D312" s="29">
        <f>IFERROR(IF(A312&lt;=Analysis!$B$12,1/POWER(1+Analysis!$B$18/Inputs!$B$15,A312),0),0)</f>
        <v>0</v>
      </c>
      <c r="E312" s="29">
        <f t="shared" si="12"/>
        <v>0</v>
      </c>
      <c r="F312" s="30">
        <f t="shared" si="13"/>
        <v>0</v>
      </c>
      <c r="G312" s="28">
        <f t="shared" si="14"/>
        <v>0</v>
      </c>
    </row>
    <row r="313" spans="1:7">
      <c r="A313" s="27">
        <v>308</v>
      </c>
      <c r="B313" s="28">
        <f>IF(A313&lt;=Analysis!$B$12,A313/Inputs!$B$15,0)</f>
        <v>0</v>
      </c>
      <c r="C313" s="29">
        <f>IF(A313&lt;=Analysis!$B$12,Analysis!$B$11+IF(A313=Analysis!$B$12,Analysis!$B$4,0),0)</f>
        <v>0</v>
      </c>
      <c r="D313" s="29">
        <f>IFERROR(IF(A313&lt;=Analysis!$B$12,1/POWER(1+Analysis!$B$18/Inputs!$B$15,A313),0),0)</f>
        <v>0</v>
      </c>
      <c r="E313" s="29">
        <f t="shared" si="12"/>
        <v>0</v>
      </c>
      <c r="F313" s="30">
        <f t="shared" si="13"/>
        <v>0</v>
      </c>
      <c r="G313" s="28">
        <f t="shared" si="14"/>
        <v>0</v>
      </c>
    </row>
    <row r="314" spans="1:7">
      <c r="A314" s="27">
        <v>309</v>
      </c>
      <c r="B314" s="28">
        <f>IF(A314&lt;=Analysis!$B$12,A314/Inputs!$B$15,0)</f>
        <v>0</v>
      </c>
      <c r="C314" s="29">
        <f>IF(A314&lt;=Analysis!$B$12,Analysis!$B$11+IF(A314=Analysis!$B$12,Analysis!$B$4,0),0)</f>
        <v>0</v>
      </c>
      <c r="D314" s="29">
        <f>IFERROR(IF(A314&lt;=Analysis!$B$12,1/POWER(1+Analysis!$B$18/Inputs!$B$15,A314),0),0)</f>
        <v>0</v>
      </c>
      <c r="E314" s="29">
        <f t="shared" si="12"/>
        <v>0</v>
      </c>
      <c r="F314" s="30">
        <f t="shared" si="13"/>
        <v>0</v>
      </c>
      <c r="G314" s="28">
        <f t="shared" si="14"/>
        <v>0</v>
      </c>
    </row>
    <row r="315" spans="1:7">
      <c r="A315" s="27">
        <v>310</v>
      </c>
      <c r="B315" s="28">
        <f>IF(A315&lt;=Analysis!$B$12,A315/Inputs!$B$15,0)</f>
        <v>0</v>
      </c>
      <c r="C315" s="29">
        <f>IF(A315&lt;=Analysis!$B$12,Analysis!$B$11+IF(A315=Analysis!$B$12,Analysis!$B$4,0),0)</f>
        <v>0</v>
      </c>
      <c r="D315" s="29">
        <f>IFERROR(IF(A315&lt;=Analysis!$B$12,1/POWER(1+Analysis!$B$18/Inputs!$B$15,A315),0),0)</f>
        <v>0</v>
      </c>
      <c r="E315" s="29">
        <f t="shared" si="12"/>
        <v>0</v>
      </c>
      <c r="F315" s="30">
        <f t="shared" si="13"/>
        <v>0</v>
      </c>
      <c r="G315" s="28">
        <f t="shared" si="14"/>
        <v>0</v>
      </c>
    </row>
    <row r="316" spans="1:7">
      <c r="A316" s="27">
        <v>311</v>
      </c>
      <c r="B316" s="28">
        <f>IF(A316&lt;=Analysis!$B$12,A316/Inputs!$B$15,0)</f>
        <v>0</v>
      </c>
      <c r="C316" s="29">
        <f>IF(A316&lt;=Analysis!$B$12,Analysis!$B$11+IF(A316=Analysis!$B$12,Analysis!$B$4,0),0)</f>
        <v>0</v>
      </c>
      <c r="D316" s="29">
        <f>IFERROR(IF(A316&lt;=Analysis!$B$12,1/POWER(1+Analysis!$B$18/Inputs!$B$15,A316),0),0)</f>
        <v>0</v>
      </c>
      <c r="E316" s="29">
        <f t="shared" si="12"/>
        <v>0</v>
      </c>
      <c r="F316" s="30">
        <f t="shared" si="13"/>
        <v>0</v>
      </c>
      <c r="G316" s="28">
        <f t="shared" si="14"/>
        <v>0</v>
      </c>
    </row>
    <row r="317" spans="1:7">
      <c r="A317" s="27">
        <v>312</v>
      </c>
      <c r="B317" s="28">
        <f>IF(A317&lt;=Analysis!$B$12,A317/Inputs!$B$15,0)</f>
        <v>0</v>
      </c>
      <c r="C317" s="29">
        <f>IF(A317&lt;=Analysis!$B$12,Analysis!$B$11+IF(A317=Analysis!$B$12,Analysis!$B$4,0),0)</f>
        <v>0</v>
      </c>
      <c r="D317" s="29">
        <f>IFERROR(IF(A317&lt;=Analysis!$B$12,1/POWER(1+Analysis!$B$18/Inputs!$B$15,A317),0),0)</f>
        <v>0</v>
      </c>
      <c r="E317" s="29">
        <f t="shared" si="12"/>
        <v>0</v>
      </c>
      <c r="F317" s="30">
        <f t="shared" si="13"/>
        <v>0</v>
      </c>
      <c r="G317" s="28">
        <f t="shared" si="14"/>
        <v>0</v>
      </c>
    </row>
    <row r="318" spans="1:7">
      <c r="A318" s="27">
        <v>313</v>
      </c>
      <c r="B318" s="28">
        <f>IF(A318&lt;=Analysis!$B$12,A318/Inputs!$B$15,0)</f>
        <v>0</v>
      </c>
      <c r="C318" s="29">
        <f>IF(A318&lt;=Analysis!$B$12,Analysis!$B$11+IF(A318=Analysis!$B$12,Analysis!$B$4,0),0)</f>
        <v>0</v>
      </c>
      <c r="D318" s="29">
        <f>IFERROR(IF(A318&lt;=Analysis!$B$12,1/POWER(1+Analysis!$B$18/Inputs!$B$15,A318),0),0)</f>
        <v>0</v>
      </c>
      <c r="E318" s="29">
        <f t="shared" si="12"/>
        <v>0</v>
      </c>
      <c r="F318" s="30">
        <f t="shared" si="13"/>
        <v>0</v>
      </c>
      <c r="G318" s="28">
        <f t="shared" si="14"/>
        <v>0</v>
      </c>
    </row>
    <row r="319" spans="1:7">
      <c r="A319" s="27">
        <v>314</v>
      </c>
      <c r="B319" s="28">
        <f>IF(A319&lt;=Analysis!$B$12,A319/Inputs!$B$15,0)</f>
        <v>0</v>
      </c>
      <c r="C319" s="29">
        <f>IF(A319&lt;=Analysis!$B$12,Analysis!$B$11+IF(A319=Analysis!$B$12,Analysis!$B$4,0),0)</f>
        <v>0</v>
      </c>
      <c r="D319" s="29">
        <f>IFERROR(IF(A319&lt;=Analysis!$B$12,1/POWER(1+Analysis!$B$18/Inputs!$B$15,A319),0),0)</f>
        <v>0</v>
      </c>
      <c r="E319" s="29">
        <f t="shared" si="12"/>
        <v>0</v>
      </c>
      <c r="F319" s="30">
        <f t="shared" si="13"/>
        <v>0</v>
      </c>
      <c r="G319" s="28">
        <f t="shared" si="14"/>
        <v>0</v>
      </c>
    </row>
    <row r="320" spans="1:7">
      <c r="A320" s="27">
        <v>315</v>
      </c>
      <c r="B320" s="28">
        <f>IF(A320&lt;=Analysis!$B$12,A320/Inputs!$B$15,0)</f>
        <v>0</v>
      </c>
      <c r="C320" s="29">
        <f>IF(A320&lt;=Analysis!$B$12,Analysis!$B$11+IF(A320=Analysis!$B$12,Analysis!$B$4,0),0)</f>
        <v>0</v>
      </c>
      <c r="D320" s="29">
        <f>IFERROR(IF(A320&lt;=Analysis!$B$12,1/POWER(1+Analysis!$B$18/Inputs!$B$15,A320),0),0)</f>
        <v>0</v>
      </c>
      <c r="E320" s="29">
        <f t="shared" si="12"/>
        <v>0</v>
      </c>
      <c r="F320" s="30">
        <f t="shared" si="13"/>
        <v>0</v>
      </c>
      <c r="G320" s="28">
        <f t="shared" si="14"/>
        <v>0</v>
      </c>
    </row>
    <row r="321" spans="1:7">
      <c r="A321" s="27">
        <v>316</v>
      </c>
      <c r="B321" s="28">
        <f>IF(A321&lt;=Analysis!$B$12,A321/Inputs!$B$15,0)</f>
        <v>0</v>
      </c>
      <c r="C321" s="29">
        <f>IF(A321&lt;=Analysis!$B$12,Analysis!$B$11+IF(A321=Analysis!$B$12,Analysis!$B$4,0),0)</f>
        <v>0</v>
      </c>
      <c r="D321" s="29">
        <f>IFERROR(IF(A321&lt;=Analysis!$B$12,1/POWER(1+Analysis!$B$18/Inputs!$B$15,A321),0),0)</f>
        <v>0</v>
      </c>
      <c r="E321" s="29">
        <f t="shared" si="12"/>
        <v>0</v>
      </c>
      <c r="F321" s="30">
        <f t="shared" si="13"/>
        <v>0</v>
      </c>
      <c r="G321" s="28">
        <f t="shared" si="14"/>
        <v>0</v>
      </c>
    </row>
    <row r="322" spans="1:7">
      <c r="A322" s="27">
        <v>317</v>
      </c>
      <c r="B322" s="28">
        <f>IF(A322&lt;=Analysis!$B$12,A322/Inputs!$B$15,0)</f>
        <v>0</v>
      </c>
      <c r="C322" s="29">
        <f>IF(A322&lt;=Analysis!$B$12,Analysis!$B$11+IF(A322=Analysis!$B$12,Analysis!$B$4,0),0)</f>
        <v>0</v>
      </c>
      <c r="D322" s="29">
        <f>IFERROR(IF(A322&lt;=Analysis!$B$12,1/POWER(1+Analysis!$B$18/Inputs!$B$15,A322),0),0)</f>
        <v>0</v>
      </c>
      <c r="E322" s="29">
        <f t="shared" si="12"/>
        <v>0</v>
      </c>
      <c r="F322" s="30">
        <f t="shared" si="13"/>
        <v>0</v>
      </c>
      <c r="G322" s="28">
        <f t="shared" si="14"/>
        <v>0</v>
      </c>
    </row>
    <row r="323" spans="1:7">
      <c r="A323" s="27">
        <v>318</v>
      </c>
      <c r="B323" s="28">
        <f>IF(A323&lt;=Analysis!$B$12,A323/Inputs!$B$15,0)</f>
        <v>0</v>
      </c>
      <c r="C323" s="29">
        <f>IF(A323&lt;=Analysis!$B$12,Analysis!$B$11+IF(A323=Analysis!$B$12,Analysis!$B$4,0),0)</f>
        <v>0</v>
      </c>
      <c r="D323" s="29">
        <f>IFERROR(IF(A323&lt;=Analysis!$B$12,1/POWER(1+Analysis!$B$18/Inputs!$B$15,A323),0),0)</f>
        <v>0</v>
      </c>
      <c r="E323" s="29">
        <f t="shared" si="12"/>
        <v>0</v>
      </c>
      <c r="F323" s="30">
        <f t="shared" si="13"/>
        <v>0</v>
      </c>
      <c r="G323" s="28">
        <f t="shared" si="14"/>
        <v>0</v>
      </c>
    </row>
    <row r="324" spans="1:7">
      <c r="A324" s="27">
        <v>319</v>
      </c>
      <c r="B324" s="28">
        <f>IF(A324&lt;=Analysis!$B$12,A324/Inputs!$B$15,0)</f>
        <v>0</v>
      </c>
      <c r="C324" s="29">
        <f>IF(A324&lt;=Analysis!$B$12,Analysis!$B$11+IF(A324=Analysis!$B$12,Analysis!$B$4,0),0)</f>
        <v>0</v>
      </c>
      <c r="D324" s="29">
        <f>IFERROR(IF(A324&lt;=Analysis!$B$12,1/POWER(1+Analysis!$B$18/Inputs!$B$15,A324),0),0)</f>
        <v>0</v>
      </c>
      <c r="E324" s="29">
        <f t="shared" si="12"/>
        <v>0</v>
      </c>
      <c r="F324" s="30">
        <f t="shared" si="13"/>
        <v>0</v>
      </c>
      <c r="G324" s="28">
        <f t="shared" si="14"/>
        <v>0</v>
      </c>
    </row>
    <row r="325" spans="1:7">
      <c r="A325" s="27">
        <v>320</v>
      </c>
      <c r="B325" s="28">
        <f>IF(A325&lt;=Analysis!$B$12,A325/Inputs!$B$15,0)</f>
        <v>0</v>
      </c>
      <c r="C325" s="29">
        <f>IF(A325&lt;=Analysis!$B$12,Analysis!$B$11+IF(A325=Analysis!$B$12,Analysis!$B$4,0),0)</f>
        <v>0</v>
      </c>
      <c r="D325" s="29">
        <f>IFERROR(IF(A325&lt;=Analysis!$B$12,1/POWER(1+Analysis!$B$18/Inputs!$B$15,A325),0),0)</f>
        <v>0</v>
      </c>
      <c r="E325" s="29">
        <f t="shared" si="12"/>
        <v>0</v>
      </c>
      <c r="F325" s="30">
        <f t="shared" si="13"/>
        <v>0</v>
      </c>
      <c r="G325" s="28">
        <f t="shared" si="14"/>
        <v>0</v>
      </c>
    </row>
    <row r="326" spans="1:7">
      <c r="A326" s="27">
        <v>321</v>
      </c>
      <c r="B326" s="28">
        <f>IF(A326&lt;=Analysis!$B$12,A326/Inputs!$B$15,0)</f>
        <v>0</v>
      </c>
      <c r="C326" s="29">
        <f>IF(A326&lt;=Analysis!$B$12,Analysis!$B$11+IF(A326=Analysis!$B$12,Analysis!$B$4,0),0)</f>
        <v>0</v>
      </c>
      <c r="D326" s="29">
        <f>IFERROR(IF(A326&lt;=Analysis!$B$12,1/POWER(1+Analysis!$B$18/Inputs!$B$15,A326),0),0)</f>
        <v>0</v>
      </c>
      <c r="E326" s="29">
        <f t="shared" ref="E326:E389" si="15">C326*D326</f>
        <v>0</v>
      </c>
      <c r="F326" s="30">
        <f t="shared" ref="F326:F389" si="16">IFERROR(E326/SUM($E$6:$E$605),0)</f>
        <v>0</v>
      </c>
      <c r="G326" s="28">
        <f t="shared" ref="G326:G389" si="17">B326*F326</f>
        <v>0</v>
      </c>
    </row>
    <row r="327" spans="1:7">
      <c r="A327" s="27">
        <v>322</v>
      </c>
      <c r="B327" s="28">
        <f>IF(A327&lt;=Analysis!$B$12,A327/Inputs!$B$15,0)</f>
        <v>0</v>
      </c>
      <c r="C327" s="29">
        <f>IF(A327&lt;=Analysis!$B$12,Analysis!$B$11+IF(A327=Analysis!$B$12,Analysis!$B$4,0),0)</f>
        <v>0</v>
      </c>
      <c r="D327" s="29">
        <f>IFERROR(IF(A327&lt;=Analysis!$B$12,1/POWER(1+Analysis!$B$18/Inputs!$B$15,A327),0),0)</f>
        <v>0</v>
      </c>
      <c r="E327" s="29">
        <f t="shared" si="15"/>
        <v>0</v>
      </c>
      <c r="F327" s="30">
        <f t="shared" si="16"/>
        <v>0</v>
      </c>
      <c r="G327" s="28">
        <f t="shared" si="17"/>
        <v>0</v>
      </c>
    </row>
    <row r="328" spans="1:7">
      <c r="A328" s="27">
        <v>323</v>
      </c>
      <c r="B328" s="28">
        <f>IF(A328&lt;=Analysis!$B$12,A328/Inputs!$B$15,0)</f>
        <v>0</v>
      </c>
      <c r="C328" s="29">
        <f>IF(A328&lt;=Analysis!$B$12,Analysis!$B$11+IF(A328=Analysis!$B$12,Analysis!$B$4,0),0)</f>
        <v>0</v>
      </c>
      <c r="D328" s="29">
        <f>IFERROR(IF(A328&lt;=Analysis!$B$12,1/POWER(1+Analysis!$B$18/Inputs!$B$15,A328),0),0)</f>
        <v>0</v>
      </c>
      <c r="E328" s="29">
        <f t="shared" si="15"/>
        <v>0</v>
      </c>
      <c r="F328" s="30">
        <f t="shared" si="16"/>
        <v>0</v>
      </c>
      <c r="G328" s="28">
        <f t="shared" si="17"/>
        <v>0</v>
      </c>
    </row>
    <row r="329" spans="1:7">
      <c r="A329" s="27">
        <v>324</v>
      </c>
      <c r="B329" s="28">
        <f>IF(A329&lt;=Analysis!$B$12,A329/Inputs!$B$15,0)</f>
        <v>0</v>
      </c>
      <c r="C329" s="29">
        <f>IF(A329&lt;=Analysis!$B$12,Analysis!$B$11+IF(A329=Analysis!$B$12,Analysis!$B$4,0),0)</f>
        <v>0</v>
      </c>
      <c r="D329" s="29">
        <f>IFERROR(IF(A329&lt;=Analysis!$B$12,1/POWER(1+Analysis!$B$18/Inputs!$B$15,A329),0),0)</f>
        <v>0</v>
      </c>
      <c r="E329" s="29">
        <f t="shared" si="15"/>
        <v>0</v>
      </c>
      <c r="F329" s="30">
        <f t="shared" si="16"/>
        <v>0</v>
      </c>
      <c r="G329" s="28">
        <f t="shared" si="17"/>
        <v>0</v>
      </c>
    </row>
    <row r="330" spans="1:7">
      <c r="A330" s="27">
        <v>325</v>
      </c>
      <c r="B330" s="28">
        <f>IF(A330&lt;=Analysis!$B$12,A330/Inputs!$B$15,0)</f>
        <v>0</v>
      </c>
      <c r="C330" s="29">
        <f>IF(A330&lt;=Analysis!$B$12,Analysis!$B$11+IF(A330=Analysis!$B$12,Analysis!$B$4,0),0)</f>
        <v>0</v>
      </c>
      <c r="D330" s="29">
        <f>IFERROR(IF(A330&lt;=Analysis!$B$12,1/POWER(1+Analysis!$B$18/Inputs!$B$15,A330),0),0)</f>
        <v>0</v>
      </c>
      <c r="E330" s="29">
        <f t="shared" si="15"/>
        <v>0</v>
      </c>
      <c r="F330" s="30">
        <f t="shared" si="16"/>
        <v>0</v>
      </c>
      <c r="G330" s="28">
        <f t="shared" si="17"/>
        <v>0</v>
      </c>
    </row>
    <row r="331" spans="1:7">
      <c r="A331" s="27">
        <v>326</v>
      </c>
      <c r="B331" s="28">
        <f>IF(A331&lt;=Analysis!$B$12,A331/Inputs!$B$15,0)</f>
        <v>0</v>
      </c>
      <c r="C331" s="29">
        <f>IF(A331&lt;=Analysis!$B$12,Analysis!$B$11+IF(A331=Analysis!$B$12,Analysis!$B$4,0),0)</f>
        <v>0</v>
      </c>
      <c r="D331" s="29">
        <f>IFERROR(IF(A331&lt;=Analysis!$B$12,1/POWER(1+Analysis!$B$18/Inputs!$B$15,A331),0),0)</f>
        <v>0</v>
      </c>
      <c r="E331" s="29">
        <f t="shared" si="15"/>
        <v>0</v>
      </c>
      <c r="F331" s="30">
        <f t="shared" si="16"/>
        <v>0</v>
      </c>
      <c r="G331" s="28">
        <f t="shared" si="17"/>
        <v>0</v>
      </c>
    </row>
    <row r="332" spans="1:7">
      <c r="A332" s="27">
        <v>327</v>
      </c>
      <c r="B332" s="28">
        <f>IF(A332&lt;=Analysis!$B$12,A332/Inputs!$B$15,0)</f>
        <v>0</v>
      </c>
      <c r="C332" s="29">
        <f>IF(A332&lt;=Analysis!$B$12,Analysis!$B$11+IF(A332=Analysis!$B$12,Analysis!$B$4,0),0)</f>
        <v>0</v>
      </c>
      <c r="D332" s="29">
        <f>IFERROR(IF(A332&lt;=Analysis!$B$12,1/POWER(1+Analysis!$B$18/Inputs!$B$15,A332),0),0)</f>
        <v>0</v>
      </c>
      <c r="E332" s="29">
        <f t="shared" si="15"/>
        <v>0</v>
      </c>
      <c r="F332" s="30">
        <f t="shared" si="16"/>
        <v>0</v>
      </c>
      <c r="G332" s="28">
        <f t="shared" si="17"/>
        <v>0</v>
      </c>
    </row>
    <row r="333" spans="1:7">
      <c r="A333" s="27">
        <v>328</v>
      </c>
      <c r="B333" s="28">
        <f>IF(A333&lt;=Analysis!$B$12,A333/Inputs!$B$15,0)</f>
        <v>0</v>
      </c>
      <c r="C333" s="29">
        <f>IF(A333&lt;=Analysis!$B$12,Analysis!$B$11+IF(A333=Analysis!$B$12,Analysis!$B$4,0),0)</f>
        <v>0</v>
      </c>
      <c r="D333" s="29">
        <f>IFERROR(IF(A333&lt;=Analysis!$B$12,1/POWER(1+Analysis!$B$18/Inputs!$B$15,A333),0),0)</f>
        <v>0</v>
      </c>
      <c r="E333" s="29">
        <f t="shared" si="15"/>
        <v>0</v>
      </c>
      <c r="F333" s="30">
        <f t="shared" si="16"/>
        <v>0</v>
      </c>
      <c r="G333" s="28">
        <f t="shared" si="17"/>
        <v>0</v>
      </c>
    </row>
    <row r="334" spans="1:7">
      <c r="A334" s="27">
        <v>329</v>
      </c>
      <c r="B334" s="28">
        <f>IF(A334&lt;=Analysis!$B$12,A334/Inputs!$B$15,0)</f>
        <v>0</v>
      </c>
      <c r="C334" s="29">
        <f>IF(A334&lt;=Analysis!$B$12,Analysis!$B$11+IF(A334=Analysis!$B$12,Analysis!$B$4,0),0)</f>
        <v>0</v>
      </c>
      <c r="D334" s="29">
        <f>IFERROR(IF(A334&lt;=Analysis!$B$12,1/POWER(1+Analysis!$B$18/Inputs!$B$15,A334),0),0)</f>
        <v>0</v>
      </c>
      <c r="E334" s="29">
        <f t="shared" si="15"/>
        <v>0</v>
      </c>
      <c r="F334" s="30">
        <f t="shared" si="16"/>
        <v>0</v>
      </c>
      <c r="G334" s="28">
        <f t="shared" si="17"/>
        <v>0</v>
      </c>
    </row>
    <row r="335" spans="1:7">
      <c r="A335" s="27">
        <v>330</v>
      </c>
      <c r="B335" s="28">
        <f>IF(A335&lt;=Analysis!$B$12,A335/Inputs!$B$15,0)</f>
        <v>0</v>
      </c>
      <c r="C335" s="29">
        <f>IF(A335&lt;=Analysis!$B$12,Analysis!$B$11+IF(A335=Analysis!$B$12,Analysis!$B$4,0),0)</f>
        <v>0</v>
      </c>
      <c r="D335" s="29">
        <f>IFERROR(IF(A335&lt;=Analysis!$B$12,1/POWER(1+Analysis!$B$18/Inputs!$B$15,A335),0),0)</f>
        <v>0</v>
      </c>
      <c r="E335" s="29">
        <f t="shared" si="15"/>
        <v>0</v>
      </c>
      <c r="F335" s="30">
        <f t="shared" si="16"/>
        <v>0</v>
      </c>
      <c r="G335" s="28">
        <f t="shared" si="17"/>
        <v>0</v>
      </c>
    </row>
    <row r="336" spans="1:7">
      <c r="A336" s="27">
        <v>331</v>
      </c>
      <c r="B336" s="28">
        <f>IF(A336&lt;=Analysis!$B$12,A336/Inputs!$B$15,0)</f>
        <v>0</v>
      </c>
      <c r="C336" s="29">
        <f>IF(A336&lt;=Analysis!$B$12,Analysis!$B$11+IF(A336=Analysis!$B$12,Analysis!$B$4,0),0)</f>
        <v>0</v>
      </c>
      <c r="D336" s="29">
        <f>IFERROR(IF(A336&lt;=Analysis!$B$12,1/POWER(1+Analysis!$B$18/Inputs!$B$15,A336),0),0)</f>
        <v>0</v>
      </c>
      <c r="E336" s="29">
        <f t="shared" si="15"/>
        <v>0</v>
      </c>
      <c r="F336" s="30">
        <f t="shared" si="16"/>
        <v>0</v>
      </c>
      <c r="G336" s="28">
        <f t="shared" si="17"/>
        <v>0</v>
      </c>
    </row>
    <row r="337" spans="1:7">
      <c r="A337" s="27">
        <v>332</v>
      </c>
      <c r="B337" s="28">
        <f>IF(A337&lt;=Analysis!$B$12,A337/Inputs!$B$15,0)</f>
        <v>0</v>
      </c>
      <c r="C337" s="29">
        <f>IF(A337&lt;=Analysis!$B$12,Analysis!$B$11+IF(A337=Analysis!$B$12,Analysis!$B$4,0),0)</f>
        <v>0</v>
      </c>
      <c r="D337" s="29">
        <f>IFERROR(IF(A337&lt;=Analysis!$B$12,1/POWER(1+Analysis!$B$18/Inputs!$B$15,A337),0),0)</f>
        <v>0</v>
      </c>
      <c r="E337" s="29">
        <f t="shared" si="15"/>
        <v>0</v>
      </c>
      <c r="F337" s="30">
        <f t="shared" si="16"/>
        <v>0</v>
      </c>
      <c r="G337" s="28">
        <f t="shared" si="17"/>
        <v>0</v>
      </c>
    </row>
    <row r="338" spans="1:7">
      <c r="A338" s="27">
        <v>333</v>
      </c>
      <c r="B338" s="28">
        <f>IF(A338&lt;=Analysis!$B$12,A338/Inputs!$B$15,0)</f>
        <v>0</v>
      </c>
      <c r="C338" s="29">
        <f>IF(A338&lt;=Analysis!$B$12,Analysis!$B$11+IF(A338=Analysis!$B$12,Analysis!$B$4,0),0)</f>
        <v>0</v>
      </c>
      <c r="D338" s="29">
        <f>IFERROR(IF(A338&lt;=Analysis!$B$12,1/POWER(1+Analysis!$B$18/Inputs!$B$15,A338),0),0)</f>
        <v>0</v>
      </c>
      <c r="E338" s="29">
        <f t="shared" si="15"/>
        <v>0</v>
      </c>
      <c r="F338" s="30">
        <f t="shared" si="16"/>
        <v>0</v>
      </c>
      <c r="G338" s="28">
        <f t="shared" si="17"/>
        <v>0</v>
      </c>
    </row>
    <row r="339" spans="1:7">
      <c r="A339" s="27">
        <v>334</v>
      </c>
      <c r="B339" s="28">
        <f>IF(A339&lt;=Analysis!$B$12,A339/Inputs!$B$15,0)</f>
        <v>0</v>
      </c>
      <c r="C339" s="29">
        <f>IF(A339&lt;=Analysis!$B$12,Analysis!$B$11+IF(A339=Analysis!$B$12,Analysis!$B$4,0),0)</f>
        <v>0</v>
      </c>
      <c r="D339" s="29">
        <f>IFERROR(IF(A339&lt;=Analysis!$B$12,1/POWER(1+Analysis!$B$18/Inputs!$B$15,A339),0),0)</f>
        <v>0</v>
      </c>
      <c r="E339" s="29">
        <f t="shared" si="15"/>
        <v>0</v>
      </c>
      <c r="F339" s="30">
        <f t="shared" si="16"/>
        <v>0</v>
      </c>
      <c r="G339" s="28">
        <f t="shared" si="17"/>
        <v>0</v>
      </c>
    </row>
    <row r="340" spans="1:7">
      <c r="A340" s="27">
        <v>335</v>
      </c>
      <c r="B340" s="28">
        <f>IF(A340&lt;=Analysis!$B$12,A340/Inputs!$B$15,0)</f>
        <v>0</v>
      </c>
      <c r="C340" s="29">
        <f>IF(A340&lt;=Analysis!$B$12,Analysis!$B$11+IF(A340=Analysis!$B$12,Analysis!$B$4,0),0)</f>
        <v>0</v>
      </c>
      <c r="D340" s="29">
        <f>IFERROR(IF(A340&lt;=Analysis!$B$12,1/POWER(1+Analysis!$B$18/Inputs!$B$15,A340),0),0)</f>
        <v>0</v>
      </c>
      <c r="E340" s="29">
        <f t="shared" si="15"/>
        <v>0</v>
      </c>
      <c r="F340" s="30">
        <f t="shared" si="16"/>
        <v>0</v>
      </c>
      <c r="G340" s="28">
        <f t="shared" si="17"/>
        <v>0</v>
      </c>
    </row>
    <row r="341" spans="1:7">
      <c r="A341" s="27">
        <v>336</v>
      </c>
      <c r="B341" s="28">
        <f>IF(A341&lt;=Analysis!$B$12,A341/Inputs!$B$15,0)</f>
        <v>0</v>
      </c>
      <c r="C341" s="29">
        <f>IF(A341&lt;=Analysis!$B$12,Analysis!$B$11+IF(A341=Analysis!$B$12,Analysis!$B$4,0),0)</f>
        <v>0</v>
      </c>
      <c r="D341" s="29">
        <f>IFERROR(IF(A341&lt;=Analysis!$B$12,1/POWER(1+Analysis!$B$18/Inputs!$B$15,A341),0),0)</f>
        <v>0</v>
      </c>
      <c r="E341" s="29">
        <f t="shared" si="15"/>
        <v>0</v>
      </c>
      <c r="F341" s="30">
        <f t="shared" si="16"/>
        <v>0</v>
      </c>
      <c r="G341" s="28">
        <f t="shared" si="17"/>
        <v>0</v>
      </c>
    </row>
    <row r="342" spans="1:7">
      <c r="A342" s="27">
        <v>337</v>
      </c>
      <c r="B342" s="28">
        <f>IF(A342&lt;=Analysis!$B$12,A342/Inputs!$B$15,0)</f>
        <v>0</v>
      </c>
      <c r="C342" s="29">
        <f>IF(A342&lt;=Analysis!$B$12,Analysis!$B$11+IF(A342=Analysis!$B$12,Analysis!$B$4,0),0)</f>
        <v>0</v>
      </c>
      <c r="D342" s="29">
        <f>IFERROR(IF(A342&lt;=Analysis!$B$12,1/POWER(1+Analysis!$B$18/Inputs!$B$15,A342),0),0)</f>
        <v>0</v>
      </c>
      <c r="E342" s="29">
        <f t="shared" si="15"/>
        <v>0</v>
      </c>
      <c r="F342" s="30">
        <f t="shared" si="16"/>
        <v>0</v>
      </c>
      <c r="G342" s="28">
        <f t="shared" si="17"/>
        <v>0</v>
      </c>
    </row>
    <row r="343" spans="1:7">
      <c r="A343" s="27">
        <v>338</v>
      </c>
      <c r="B343" s="28">
        <f>IF(A343&lt;=Analysis!$B$12,A343/Inputs!$B$15,0)</f>
        <v>0</v>
      </c>
      <c r="C343" s="29">
        <f>IF(A343&lt;=Analysis!$B$12,Analysis!$B$11+IF(A343=Analysis!$B$12,Analysis!$B$4,0),0)</f>
        <v>0</v>
      </c>
      <c r="D343" s="29">
        <f>IFERROR(IF(A343&lt;=Analysis!$B$12,1/POWER(1+Analysis!$B$18/Inputs!$B$15,A343),0),0)</f>
        <v>0</v>
      </c>
      <c r="E343" s="29">
        <f t="shared" si="15"/>
        <v>0</v>
      </c>
      <c r="F343" s="30">
        <f t="shared" si="16"/>
        <v>0</v>
      </c>
      <c r="G343" s="28">
        <f t="shared" si="17"/>
        <v>0</v>
      </c>
    </row>
    <row r="344" spans="1:7">
      <c r="A344" s="27">
        <v>339</v>
      </c>
      <c r="B344" s="28">
        <f>IF(A344&lt;=Analysis!$B$12,A344/Inputs!$B$15,0)</f>
        <v>0</v>
      </c>
      <c r="C344" s="29">
        <f>IF(A344&lt;=Analysis!$B$12,Analysis!$B$11+IF(A344=Analysis!$B$12,Analysis!$B$4,0),0)</f>
        <v>0</v>
      </c>
      <c r="D344" s="29">
        <f>IFERROR(IF(A344&lt;=Analysis!$B$12,1/POWER(1+Analysis!$B$18/Inputs!$B$15,A344),0),0)</f>
        <v>0</v>
      </c>
      <c r="E344" s="29">
        <f t="shared" si="15"/>
        <v>0</v>
      </c>
      <c r="F344" s="30">
        <f t="shared" si="16"/>
        <v>0</v>
      </c>
      <c r="G344" s="28">
        <f t="shared" si="17"/>
        <v>0</v>
      </c>
    </row>
    <row r="345" spans="1:7">
      <c r="A345" s="27">
        <v>340</v>
      </c>
      <c r="B345" s="28">
        <f>IF(A345&lt;=Analysis!$B$12,A345/Inputs!$B$15,0)</f>
        <v>0</v>
      </c>
      <c r="C345" s="29">
        <f>IF(A345&lt;=Analysis!$B$12,Analysis!$B$11+IF(A345=Analysis!$B$12,Analysis!$B$4,0),0)</f>
        <v>0</v>
      </c>
      <c r="D345" s="29">
        <f>IFERROR(IF(A345&lt;=Analysis!$B$12,1/POWER(1+Analysis!$B$18/Inputs!$B$15,A345),0),0)</f>
        <v>0</v>
      </c>
      <c r="E345" s="29">
        <f t="shared" si="15"/>
        <v>0</v>
      </c>
      <c r="F345" s="30">
        <f t="shared" si="16"/>
        <v>0</v>
      </c>
      <c r="G345" s="28">
        <f t="shared" si="17"/>
        <v>0</v>
      </c>
    </row>
    <row r="346" spans="1:7">
      <c r="A346" s="27">
        <v>341</v>
      </c>
      <c r="B346" s="28">
        <f>IF(A346&lt;=Analysis!$B$12,A346/Inputs!$B$15,0)</f>
        <v>0</v>
      </c>
      <c r="C346" s="29">
        <f>IF(A346&lt;=Analysis!$B$12,Analysis!$B$11+IF(A346=Analysis!$B$12,Analysis!$B$4,0),0)</f>
        <v>0</v>
      </c>
      <c r="D346" s="29">
        <f>IFERROR(IF(A346&lt;=Analysis!$B$12,1/POWER(1+Analysis!$B$18/Inputs!$B$15,A346),0),0)</f>
        <v>0</v>
      </c>
      <c r="E346" s="29">
        <f t="shared" si="15"/>
        <v>0</v>
      </c>
      <c r="F346" s="30">
        <f t="shared" si="16"/>
        <v>0</v>
      </c>
      <c r="G346" s="28">
        <f t="shared" si="17"/>
        <v>0</v>
      </c>
    </row>
    <row r="347" spans="1:7">
      <c r="A347" s="27">
        <v>342</v>
      </c>
      <c r="B347" s="28">
        <f>IF(A347&lt;=Analysis!$B$12,A347/Inputs!$B$15,0)</f>
        <v>0</v>
      </c>
      <c r="C347" s="29">
        <f>IF(A347&lt;=Analysis!$B$12,Analysis!$B$11+IF(A347=Analysis!$B$12,Analysis!$B$4,0),0)</f>
        <v>0</v>
      </c>
      <c r="D347" s="29">
        <f>IFERROR(IF(A347&lt;=Analysis!$B$12,1/POWER(1+Analysis!$B$18/Inputs!$B$15,A347),0),0)</f>
        <v>0</v>
      </c>
      <c r="E347" s="29">
        <f t="shared" si="15"/>
        <v>0</v>
      </c>
      <c r="F347" s="30">
        <f t="shared" si="16"/>
        <v>0</v>
      </c>
      <c r="G347" s="28">
        <f t="shared" si="17"/>
        <v>0</v>
      </c>
    </row>
    <row r="348" spans="1:7">
      <c r="A348" s="27">
        <v>343</v>
      </c>
      <c r="B348" s="28">
        <f>IF(A348&lt;=Analysis!$B$12,A348/Inputs!$B$15,0)</f>
        <v>0</v>
      </c>
      <c r="C348" s="29">
        <f>IF(A348&lt;=Analysis!$B$12,Analysis!$B$11+IF(A348=Analysis!$B$12,Analysis!$B$4,0),0)</f>
        <v>0</v>
      </c>
      <c r="D348" s="29">
        <f>IFERROR(IF(A348&lt;=Analysis!$B$12,1/POWER(1+Analysis!$B$18/Inputs!$B$15,A348),0),0)</f>
        <v>0</v>
      </c>
      <c r="E348" s="29">
        <f t="shared" si="15"/>
        <v>0</v>
      </c>
      <c r="F348" s="30">
        <f t="shared" si="16"/>
        <v>0</v>
      </c>
      <c r="G348" s="28">
        <f t="shared" si="17"/>
        <v>0</v>
      </c>
    </row>
    <row r="349" spans="1:7">
      <c r="A349" s="27">
        <v>344</v>
      </c>
      <c r="B349" s="28">
        <f>IF(A349&lt;=Analysis!$B$12,A349/Inputs!$B$15,0)</f>
        <v>0</v>
      </c>
      <c r="C349" s="29">
        <f>IF(A349&lt;=Analysis!$B$12,Analysis!$B$11+IF(A349=Analysis!$B$12,Analysis!$B$4,0),0)</f>
        <v>0</v>
      </c>
      <c r="D349" s="29">
        <f>IFERROR(IF(A349&lt;=Analysis!$B$12,1/POWER(1+Analysis!$B$18/Inputs!$B$15,A349),0),0)</f>
        <v>0</v>
      </c>
      <c r="E349" s="29">
        <f t="shared" si="15"/>
        <v>0</v>
      </c>
      <c r="F349" s="30">
        <f t="shared" si="16"/>
        <v>0</v>
      </c>
      <c r="G349" s="28">
        <f t="shared" si="17"/>
        <v>0</v>
      </c>
    </row>
    <row r="350" spans="1:7">
      <c r="A350" s="27">
        <v>345</v>
      </c>
      <c r="B350" s="28">
        <f>IF(A350&lt;=Analysis!$B$12,A350/Inputs!$B$15,0)</f>
        <v>0</v>
      </c>
      <c r="C350" s="29">
        <f>IF(A350&lt;=Analysis!$B$12,Analysis!$B$11+IF(A350=Analysis!$B$12,Analysis!$B$4,0),0)</f>
        <v>0</v>
      </c>
      <c r="D350" s="29">
        <f>IFERROR(IF(A350&lt;=Analysis!$B$12,1/POWER(1+Analysis!$B$18/Inputs!$B$15,A350),0),0)</f>
        <v>0</v>
      </c>
      <c r="E350" s="29">
        <f t="shared" si="15"/>
        <v>0</v>
      </c>
      <c r="F350" s="30">
        <f t="shared" si="16"/>
        <v>0</v>
      </c>
      <c r="G350" s="28">
        <f t="shared" si="17"/>
        <v>0</v>
      </c>
    </row>
    <row r="351" spans="1:7">
      <c r="A351" s="27">
        <v>346</v>
      </c>
      <c r="B351" s="28">
        <f>IF(A351&lt;=Analysis!$B$12,A351/Inputs!$B$15,0)</f>
        <v>0</v>
      </c>
      <c r="C351" s="29">
        <f>IF(A351&lt;=Analysis!$B$12,Analysis!$B$11+IF(A351=Analysis!$B$12,Analysis!$B$4,0),0)</f>
        <v>0</v>
      </c>
      <c r="D351" s="29">
        <f>IFERROR(IF(A351&lt;=Analysis!$B$12,1/POWER(1+Analysis!$B$18/Inputs!$B$15,A351),0),0)</f>
        <v>0</v>
      </c>
      <c r="E351" s="29">
        <f t="shared" si="15"/>
        <v>0</v>
      </c>
      <c r="F351" s="30">
        <f t="shared" si="16"/>
        <v>0</v>
      </c>
      <c r="G351" s="28">
        <f t="shared" si="17"/>
        <v>0</v>
      </c>
    </row>
    <row r="352" spans="1:7">
      <c r="A352" s="27">
        <v>347</v>
      </c>
      <c r="B352" s="28">
        <f>IF(A352&lt;=Analysis!$B$12,A352/Inputs!$B$15,0)</f>
        <v>0</v>
      </c>
      <c r="C352" s="29">
        <f>IF(A352&lt;=Analysis!$B$12,Analysis!$B$11+IF(A352=Analysis!$B$12,Analysis!$B$4,0),0)</f>
        <v>0</v>
      </c>
      <c r="D352" s="29">
        <f>IFERROR(IF(A352&lt;=Analysis!$B$12,1/POWER(1+Analysis!$B$18/Inputs!$B$15,A352),0),0)</f>
        <v>0</v>
      </c>
      <c r="E352" s="29">
        <f t="shared" si="15"/>
        <v>0</v>
      </c>
      <c r="F352" s="30">
        <f t="shared" si="16"/>
        <v>0</v>
      </c>
      <c r="G352" s="28">
        <f t="shared" si="17"/>
        <v>0</v>
      </c>
    </row>
    <row r="353" spans="1:7">
      <c r="A353" s="27">
        <v>348</v>
      </c>
      <c r="B353" s="28">
        <f>IF(A353&lt;=Analysis!$B$12,A353/Inputs!$B$15,0)</f>
        <v>0</v>
      </c>
      <c r="C353" s="29">
        <f>IF(A353&lt;=Analysis!$B$12,Analysis!$B$11+IF(A353=Analysis!$B$12,Analysis!$B$4,0),0)</f>
        <v>0</v>
      </c>
      <c r="D353" s="29">
        <f>IFERROR(IF(A353&lt;=Analysis!$B$12,1/POWER(1+Analysis!$B$18/Inputs!$B$15,A353),0),0)</f>
        <v>0</v>
      </c>
      <c r="E353" s="29">
        <f t="shared" si="15"/>
        <v>0</v>
      </c>
      <c r="F353" s="30">
        <f t="shared" si="16"/>
        <v>0</v>
      </c>
      <c r="G353" s="28">
        <f t="shared" si="17"/>
        <v>0</v>
      </c>
    </row>
    <row r="354" spans="1:7">
      <c r="A354" s="27">
        <v>349</v>
      </c>
      <c r="B354" s="28">
        <f>IF(A354&lt;=Analysis!$B$12,A354/Inputs!$B$15,0)</f>
        <v>0</v>
      </c>
      <c r="C354" s="29">
        <f>IF(A354&lt;=Analysis!$B$12,Analysis!$B$11+IF(A354=Analysis!$B$12,Analysis!$B$4,0),0)</f>
        <v>0</v>
      </c>
      <c r="D354" s="29">
        <f>IFERROR(IF(A354&lt;=Analysis!$B$12,1/POWER(1+Analysis!$B$18/Inputs!$B$15,A354),0),0)</f>
        <v>0</v>
      </c>
      <c r="E354" s="29">
        <f t="shared" si="15"/>
        <v>0</v>
      </c>
      <c r="F354" s="30">
        <f t="shared" si="16"/>
        <v>0</v>
      </c>
      <c r="G354" s="28">
        <f t="shared" si="17"/>
        <v>0</v>
      </c>
    </row>
    <row r="355" spans="1:7">
      <c r="A355" s="27">
        <v>350</v>
      </c>
      <c r="B355" s="28">
        <f>IF(A355&lt;=Analysis!$B$12,A355/Inputs!$B$15,0)</f>
        <v>0</v>
      </c>
      <c r="C355" s="29">
        <f>IF(A355&lt;=Analysis!$B$12,Analysis!$B$11+IF(A355=Analysis!$B$12,Analysis!$B$4,0),0)</f>
        <v>0</v>
      </c>
      <c r="D355" s="29">
        <f>IFERROR(IF(A355&lt;=Analysis!$B$12,1/POWER(1+Analysis!$B$18/Inputs!$B$15,A355),0),0)</f>
        <v>0</v>
      </c>
      <c r="E355" s="29">
        <f t="shared" si="15"/>
        <v>0</v>
      </c>
      <c r="F355" s="30">
        <f t="shared" si="16"/>
        <v>0</v>
      </c>
      <c r="G355" s="28">
        <f t="shared" si="17"/>
        <v>0</v>
      </c>
    </row>
    <row r="356" spans="1:7">
      <c r="A356" s="27">
        <v>351</v>
      </c>
      <c r="B356" s="28">
        <f>IF(A356&lt;=Analysis!$B$12,A356/Inputs!$B$15,0)</f>
        <v>0</v>
      </c>
      <c r="C356" s="29">
        <f>IF(A356&lt;=Analysis!$B$12,Analysis!$B$11+IF(A356=Analysis!$B$12,Analysis!$B$4,0),0)</f>
        <v>0</v>
      </c>
      <c r="D356" s="29">
        <f>IFERROR(IF(A356&lt;=Analysis!$B$12,1/POWER(1+Analysis!$B$18/Inputs!$B$15,A356),0),0)</f>
        <v>0</v>
      </c>
      <c r="E356" s="29">
        <f t="shared" si="15"/>
        <v>0</v>
      </c>
      <c r="F356" s="30">
        <f t="shared" si="16"/>
        <v>0</v>
      </c>
      <c r="G356" s="28">
        <f t="shared" si="17"/>
        <v>0</v>
      </c>
    </row>
    <row r="357" spans="1:7">
      <c r="A357" s="27">
        <v>352</v>
      </c>
      <c r="B357" s="28">
        <f>IF(A357&lt;=Analysis!$B$12,A357/Inputs!$B$15,0)</f>
        <v>0</v>
      </c>
      <c r="C357" s="29">
        <f>IF(A357&lt;=Analysis!$B$12,Analysis!$B$11+IF(A357=Analysis!$B$12,Analysis!$B$4,0),0)</f>
        <v>0</v>
      </c>
      <c r="D357" s="29">
        <f>IFERROR(IF(A357&lt;=Analysis!$B$12,1/POWER(1+Analysis!$B$18/Inputs!$B$15,A357),0),0)</f>
        <v>0</v>
      </c>
      <c r="E357" s="29">
        <f t="shared" si="15"/>
        <v>0</v>
      </c>
      <c r="F357" s="30">
        <f t="shared" si="16"/>
        <v>0</v>
      </c>
      <c r="G357" s="28">
        <f t="shared" si="17"/>
        <v>0</v>
      </c>
    </row>
    <row r="358" spans="1:7">
      <c r="A358" s="27">
        <v>353</v>
      </c>
      <c r="B358" s="28">
        <f>IF(A358&lt;=Analysis!$B$12,A358/Inputs!$B$15,0)</f>
        <v>0</v>
      </c>
      <c r="C358" s="29">
        <f>IF(A358&lt;=Analysis!$B$12,Analysis!$B$11+IF(A358=Analysis!$B$12,Analysis!$B$4,0),0)</f>
        <v>0</v>
      </c>
      <c r="D358" s="29">
        <f>IFERROR(IF(A358&lt;=Analysis!$B$12,1/POWER(1+Analysis!$B$18/Inputs!$B$15,A358),0),0)</f>
        <v>0</v>
      </c>
      <c r="E358" s="29">
        <f t="shared" si="15"/>
        <v>0</v>
      </c>
      <c r="F358" s="30">
        <f t="shared" si="16"/>
        <v>0</v>
      </c>
      <c r="G358" s="28">
        <f t="shared" si="17"/>
        <v>0</v>
      </c>
    </row>
    <row r="359" spans="1:7">
      <c r="A359" s="27">
        <v>354</v>
      </c>
      <c r="B359" s="28">
        <f>IF(A359&lt;=Analysis!$B$12,A359/Inputs!$B$15,0)</f>
        <v>0</v>
      </c>
      <c r="C359" s="29">
        <f>IF(A359&lt;=Analysis!$B$12,Analysis!$B$11+IF(A359=Analysis!$B$12,Analysis!$B$4,0),0)</f>
        <v>0</v>
      </c>
      <c r="D359" s="29">
        <f>IFERROR(IF(A359&lt;=Analysis!$B$12,1/POWER(1+Analysis!$B$18/Inputs!$B$15,A359),0),0)</f>
        <v>0</v>
      </c>
      <c r="E359" s="29">
        <f t="shared" si="15"/>
        <v>0</v>
      </c>
      <c r="F359" s="30">
        <f t="shared" si="16"/>
        <v>0</v>
      </c>
      <c r="G359" s="28">
        <f t="shared" si="17"/>
        <v>0</v>
      </c>
    </row>
    <row r="360" spans="1:7">
      <c r="A360" s="27">
        <v>355</v>
      </c>
      <c r="B360" s="28">
        <f>IF(A360&lt;=Analysis!$B$12,A360/Inputs!$B$15,0)</f>
        <v>0</v>
      </c>
      <c r="C360" s="29">
        <f>IF(A360&lt;=Analysis!$B$12,Analysis!$B$11+IF(A360=Analysis!$B$12,Analysis!$B$4,0),0)</f>
        <v>0</v>
      </c>
      <c r="D360" s="29">
        <f>IFERROR(IF(A360&lt;=Analysis!$B$12,1/POWER(1+Analysis!$B$18/Inputs!$B$15,A360),0),0)</f>
        <v>0</v>
      </c>
      <c r="E360" s="29">
        <f t="shared" si="15"/>
        <v>0</v>
      </c>
      <c r="F360" s="30">
        <f t="shared" si="16"/>
        <v>0</v>
      </c>
      <c r="G360" s="28">
        <f t="shared" si="17"/>
        <v>0</v>
      </c>
    </row>
    <row r="361" spans="1:7">
      <c r="A361" s="27">
        <v>356</v>
      </c>
      <c r="B361" s="28">
        <f>IF(A361&lt;=Analysis!$B$12,A361/Inputs!$B$15,0)</f>
        <v>0</v>
      </c>
      <c r="C361" s="29">
        <f>IF(A361&lt;=Analysis!$B$12,Analysis!$B$11+IF(A361=Analysis!$B$12,Analysis!$B$4,0),0)</f>
        <v>0</v>
      </c>
      <c r="D361" s="29">
        <f>IFERROR(IF(A361&lt;=Analysis!$B$12,1/POWER(1+Analysis!$B$18/Inputs!$B$15,A361),0),0)</f>
        <v>0</v>
      </c>
      <c r="E361" s="29">
        <f t="shared" si="15"/>
        <v>0</v>
      </c>
      <c r="F361" s="30">
        <f t="shared" si="16"/>
        <v>0</v>
      </c>
      <c r="G361" s="28">
        <f t="shared" si="17"/>
        <v>0</v>
      </c>
    </row>
    <row r="362" spans="1:7">
      <c r="A362" s="27">
        <v>357</v>
      </c>
      <c r="B362" s="28">
        <f>IF(A362&lt;=Analysis!$B$12,A362/Inputs!$B$15,0)</f>
        <v>0</v>
      </c>
      <c r="C362" s="29">
        <f>IF(A362&lt;=Analysis!$B$12,Analysis!$B$11+IF(A362=Analysis!$B$12,Analysis!$B$4,0),0)</f>
        <v>0</v>
      </c>
      <c r="D362" s="29">
        <f>IFERROR(IF(A362&lt;=Analysis!$B$12,1/POWER(1+Analysis!$B$18/Inputs!$B$15,A362),0),0)</f>
        <v>0</v>
      </c>
      <c r="E362" s="29">
        <f t="shared" si="15"/>
        <v>0</v>
      </c>
      <c r="F362" s="30">
        <f t="shared" si="16"/>
        <v>0</v>
      </c>
      <c r="G362" s="28">
        <f t="shared" si="17"/>
        <v>0</v>
      </c>
    </row>
    <row r="363" spans="1:7">
      <c r="A363" s="27">
        <v>358</v>
      </c>
      <c r="B363" s="28">
        <f>IF(A363&lt;=Analysis!$B$12,A363/Inputs!$B$15,0)</f>
        <v>0</v>
      </c>
      <c r="C363" s="29">
        <f>IF(A363&lt;=Analysis!$B$12,Analysis!$B$11+IF(A363=Analysis!$B$12,Analysis!$B$4,0),0)</f>
        <v>0</v>
      </c>
      <c r="D363" s="29">
        <f>IFERROR(IF(A363&lt;=Analysis!$B$12,1/POWER(1+Analysis!$B$18/Inputs!$B$15,A363),0),0)</f>
        <v>0</v>
      </c>
      <c r="E363" s="29">
        <f t="shared" si="15"/>
        <v>0</v>
      </c>
      <c r="F363" s="30">
        <f t="shared" si="16"/>
        <v>0</v>
      </c>
      <c r="G363" s="28">
        <f t="shared" si="17"/>
        <v>0</v>
      </c>
    </row>
    <row r="364" spans="1:7">
      <c r="A364" s="27">
        <v>359</v>
      </c>
      <c r="B364" s="28">
        <f>IF(A364&lt;=Analysis!$B$12,A364/Inputs!$B$15,0)</f>
        <v>0</v>
      </c>
      <c r="C364" s="29">
        <f>IF(A364&lt;=Analysis!$B$12,Analysis!$B$11+IF(A364=Analysis!$B$12,Analysis!$B$4,0),0)</f>
        <v>0</v>
      </c>
      <c r="D364" s="29">
        <f>IFERROR(IF(A364&lt;=Analysis!$B$12,1/POWER(1+Analysis!$B$18/Inputs!$B$15,A364),0),0)</f>
        <v>0</v>
      </c>
      <c r="E364" s="29">
        <f t="shared" si="15"/>
        <v>0</v>
      </c>
      <c r="F364" s="30">
        <f t="shared" si="16"/>
        <v>0</v>
      </c>
      <c r="G364" s="28">
        <f t="shared" si="17"/>
        <v>0</v>
      </c>
    </row>
    <row r="365" spans="1:7">
      <c r="A365" s="27">
        <v>360</v>
      </c>
      <c r="B365" s="28">
        <f>IF(A365&lt;=Analysis!$B$12,A365/Inputs!$B$15,0)</f>
        <v>0</v>
      </c>
      <c r="C365" s="29">
        <f>IF(A365&lt;=Analysis!$B$12,Analysis!$B$11+IF(A365=Analysis!$B$12,Analysis!$B$4,0),0)</f>
        <v>0</v>
      </c>
      <c r="D365" s="29">
        <f>IFERROR(IF(A365&lt;=Analysis!$B$12,1/POWER(1+Analysis!$B$18/Inputs!$B$15,A365),0),0)</f>
        <v>0</v>
      </c>
      <c r="E365" s="29">
        <f t="shared" si="15"/>
        <v>0</v>
      </c>
      <c r="F365" s="30">
        <f t="shared" si="16"/>
        <v>0</v>
      </c>
      <c r="G365" s="28">
        <f t="shared" si="17"/>
        <v>0</v>
      </c>
    </row>
    <row r="366" spans="1:7">
      <c r="A366" s="27">
        <v>361</v>
      </c>
      <c r="B366" s="28">
        <f>IF(A366&lt;=Analysis!$B$12,A366/Inputs!$B$15,0)</f>
        <v>0</v>
      </c>
      <c r="C366" s="29">
        <f>IF(A366&lt;=Analysis!$B$12,Analysis!$B$11+IF(A366=Analysis!$B$12,Analysis!$B$4,0),0)</f>
        <v>0</v>
      </c>
      <c r="D366" s="29">
        <f>IFERROR(IF(A366&lt;=Analysis!$B$12,1/POWER(1+Analysis!$B$18/Inputs!$B$15,A366),0),0)</f>
        <v>0</v>
      </c>
      <c r="E366" s="29">
        <f t="shared" si="15"/>
        <v>0</v>
      </c>
      <c r="F366" s="30">
        <f t="shared" si="16"/>
        <v>0</v>
      </c>
      <c r="G366" s="28">
        <f t="shared" si="17"/>
        <v>0</v>
      </c>
    </row>
    <row r="367" spans="1:7">
      <c r="A367" s="27">
        <v>362</v>
      </c>
      <c r="B367" s="28">
        <f>IF(A367&lt;=Analysis!$B$12,A367/Inputs!$B$15,0)</f>
        <v>0</v>
      </c>
      <c r="C367" s="29">
        <f>IF(A367&lt;=Analysis!$B$12,Analysis!$B$11+IF(A367=Analysis!$B$12,Analysis!$B$4,0),0)</f>
        <v>0</v>
      </c>
      <c r="D367" s="29">
        <f>IFERROR(IF(A367&lt;=Analysis!$B$12,1/POWER(1+Analysis!$B$18/Inputs!$B$15,A367),0),0)</f>
        <v>0</v>
      </c>
      <c r="E367" s="29">
        <f t="shared" si="15"/>
        <v>0</v>
      </c>
      <c r="F367" s="30">
        <f t="shared" si="16"/>
        <v>0</v>
      </c>
      <c r="G367" s="28">
        <f t="shared" si="17"/>
        <v>0</v>
      </c>
    </row>
    <row r="368" spans="1:7">
      <c r="A368" s="27">
        <v>363</v>
      </c>
      <c r="B368" s="28">
        <f>IF(A368&lt;=Analysis!$B$12,A368/Inputs!$B$15,0)</f>
        <v>0</v>
      </c>
      <c r="C368" s="29">
        <f>IF(A368&lt;=Analysis!$B$12,Analysis!$B$11+IF(A368=Analysis!$B$12,Analysis!$B$4,0),0)</f>
        <v>0</v>
      </c>
      <c r="D368" s="29">
        <f>IFERROR(IF(A368&lt;=Analysis!$B$12,1/POWER(1+Analysis!$B$18/Inputs!$B$15,A368),0),0)</f>
        <v>0</v>
      </c>
      <c r="E368" s="29">
        <f t="shared" si="15"/>
        <v>0</v>
      </c>
      <c r="F368" s="30">
        <f t="shared" si="16"/>
        <v>0</v>
      </c>
      <c r="G368" s="28">
        <f t="shared" si="17"/>
        <v>0</v>
      </c>
    </row>
    <row r="369" spans="1:7">
      <c r="A369" s="27">
        <v>364</v>
      </c>
      <c r="B369" s="28">
        <f>IF(A369&lt;=Analysis!$B$12,A369/Inputs!$B$15,0)</f>
        <v>0</v>
      </c>
      <c r="C369" s="29">
        <f>IF(A369&lt;=Analysis!$B$12,Analysis!$B$11+IF(A369=Analysis!$B$12,Analysis!$B$4,0),0)</f>
        <v>0</v>
      </c>
      <c r="D369" s="29">
        <f>IFERROR(IF(A369&lt;=Analysis!$B$12,1/POWER(1+Analysis!$B$18/Inputs!$B$15,A369),0),0)</f>
        <v>0</v>
      </c>
      <c r="E369" s="29">
        <f t="shared" si="15"/>
        <v>0</v>
      </c>
      <c r="F369" s="30">
        <f t="shared" si="16"/>
        <v>0</v>
      </c>
      <c r="G369" s="28">
        <f t="shared" si="17"/>
        <v>0</v>
      </c>
    </row>
    <row r="370" spans="1:7">
      <c r="A370" s="27">
        <v>365</v>
      </c>
      <c r="B370" s="28">
        <f>IF(A370&lt;=Analysis!$B$12,A370/Inputs!$B$15,0)</f>
        <v>0</v>
      </c>
      <c r="C370" s="29">
        <f>IF(A370&lt;=Analysis!$B$12,Analysis!$B$11+IF(A370=Analysis!$B$12,Analysis!$B$4,0),0)</f>
        <v>0</v>
      </c>
      <c r="D370" s="29">
        <f>IFERROR(IF(A370&lt;=Analysis!$B$12,1/POWER(1+Analysis!$B$18/Inputs!$B$15,A370),0),0)</f>
        <v>0</v>
      </c>
      <c r="E370" s="29">
        <f t="shared" si="15"/>
        <v>0</v>
      </c>
      <c r="F370" s="30">
        <f t="shared" si="16"/>
        <v>0</v>
      </c>
      <c r="G370" s="28">
        <f t="shared" si="17"/>
        <v>0</v>
      </c>
    </row>
    <row r="371" spans="1:7">
      <c r="A371" s="27">
        <v>366</v>
      </c>
      <c r="B371" s="28">
        <f>IF(A371&lt;=Analysis!$B$12,A371/Inputs!$B$15,0)</f>
        <v>0</v>
      </c>
      <c r="C371" s="29">
        <f>IF(A371&lt;=Analysis!$B$12,Analysis!$B$11+IF(A371=Analysis!$B$12,Analysis!$B$4,0),0)</f>
        <v>0</v>
      </c>
      <c r="D371" s="29">
        <f>IFERROR(IF(A371&lt;=Analysis!$B$12,1/POWER(1+Analysis!$B$18/Inputs!$B$15,A371),0),0)</f>
        <v>0</v>
      </c>
      <c r="E371" s="29">
        <f t="shared" si="15"/>
        <v>0</v>
      </c>
      <c r="F371" s="30">
        <f t="shared" si="16"/>
        <v>0</v>
      </c>
      <c r="G371" s="28">
        <f t="shared" si="17"/>
        <v>0</v>
      </c>
    </row>
    <row r="372" spans="1:7">
      <c r="A372" s="27">
        <v>367</v>
      </c>
      <c r="B372" s="28">
        <f>IF(A372&lt;=Analysis!$B$12,A372/Inputs!$B$15,0)</f>
        <v>0</v>
      </c>
      <c r="C372" s="29">
        <f>IF(A372&lt;=Analysis!$B$12,Analysis!$B$11+IF(A372=Analysis!$B$12,Analysis!$B$4,0),0)</f>
        <v>0</v>
      </c>
      <c r="D372" s="29">
        <f>IFERROR(IF(A372&lt;=Analysis!$B$12,1/POWER(1+Analysis!$B$18/Inputs!$B$15,A372),0),0)</f>
        <v>0</v>
      </c>
      <c r="E372" s="29">
        <f t="shared" si="15"/>
        <v>0</v>
      </c>
      <c r="F372" s="30">
        <f t="shared" si="16"/>
        <v>0</v>
      </c>
      <c r="G372" s="28">
        <f t="shared" si="17"/>
        <v>0</v>
      </c>
    </row>
    <row r="373" spans="1:7">
      <c r="A373" s="27">
        <v>368</v>
      </c>
      <c r="B373" s="28">
        <f>IF(A373&lt;=Analysis!$B$12,A373/Inputs!$B$15,0)</f>
        <v>0</v>
      </c>
      <c r="C373" s="29">
        <f>IF(A373&lt;=Analysis!$B$12,Analysis!$B$11+IF(A373=Analysis!$B$12,Analysis!$B$4,0),0)</f>
        <v>0</v>
      </c>
      <c r="D373" s="29">
        <f>IFERROR(IF(A373&lt;=Analysis!$B$12,1/POWER(1+Analysis!$B$18/Inputs!$B$15,A373),0),0)</f>
        <v>0</v>
      </c>
      <c r="E373" s="29">
        <f t="shared" si="15"/>
        <v>0</v>
      </c>
      <c r="F373" s="30">
        <f t="shared" si="16"/>
        <v>0</v>
      </c>
      <c r="G373" s="28">
        <f t="shared" si="17"/>
        <v>0</v>
      </c>
    </row>
    <row r="374" spans="1:7">
      <c r="A374" s="27">
        <v>369</v>
      </c>
      <c r="B374" s="28">
        <f>IF(A374&lt;=Analysis!$B$12,A374/Inputs!$B$15,0)</f>
        <v>0</v>
      </c>
      <c r="C374" s="29">
        <f>IF(A374&lt;=Analysis!$B$12,Analysis!$B$11+IF(A374=Analysis!$B$12,Analysis!$B$4,0),0)</f>
        <v>0</v>
      </c>
      <c r="D374" s="29">
        <f>IFERROR(IF(A374&lt;=Analysis!$B$12,1/POWER(1+Analysis!$B$18/Inputs!$B$15,A374),0),0)</f>
        <v>0</v>
      </c>
      <c r="E374" s="29">
        <f t="shared" si="15"/>
        <v>0</v>
      </c>
      <c r="F374" s="30">
        <f t="shared" si="16"/>
        <v>0</v>
      </c>
      <c r="G374" s="28">
        <f t="shared" si="17"/>
        <v>0</v>
      </c>
    </row>
    <row r="375" spans="1:7">
      <c r="A375" s="27">
        <v>370</v>
      </c>
      <c r="B375" s="28">
        <f>IF(A375&lt;=Analysis!$B$12,A375/Inputs!$B$15,0)</f>
        <v>0</v>
      </c>
      <c r="C375" s="29">
        <f>IF(A375&lt;=Analysis!$B$12,Analysis!$B$11+IF(A375=Analysis!$B$12,Analysis!$B$4,0),0)</f>
        <v>0</v>
      </c>
      <c r="D375" s="29">
        <f>IFERROR(IF(A375&lt;=Analysis!$B$12,1/POWER(1+Analysis!$B$18/Inputs!$B$15,A375),0),0)</f>
        <v>0</v>
      </c>
      <c r="E375" s="29">
        <f t="shared" si="15"/>
        <v>0</v>
      </c>
      <c r="F375" s="30">
        <f t="shared" si="16"/>
        <v>0</v>
      </c>
      <c r="G375" s="28">
        <f t="shared" si="17"/>
        <v>0</v>
      </c>
    </row>
    <row r="376" spans="1:7">
      <c r="A376" s="27">
        <v>371</v>
      </c>
      <c r="B376" s="28">
        <f>IF(A376&lt;=Analysis!$B$12,A376/Inputs!$B$15,0)</f>
        <v>0</v>
      </c>
      <c r="C376" s="29">
        <f>IF(A376&lt;=Analysis!$B$12,Analysis!$B$11+IF(A376=Analysis!$B$12,Analysis!$B$4,0),0)</f>
        <v>0</v>
      </c>
      <c r="D376" s="29">
        <f>IFERROR(IF(A376&lt;=Analysis!$B$12,1/POWER(1+Analysis!$B$18/Inputs!$B$15,A376),0),0)</f>
        <v>0</v>
      </c>
      <c r="E376" s="29">
        <f t="shared" si="15"/>
        <v>0</v>
      </c>
      <c r="F376" s="30">
        <f t="shared" si="16"/>
        <v>0</v>
      </c>
      <c r="G376" s="28">
        <f t="shared" si="17"/>
        <v>0</v>
      </c>
    </row>
    <row r="377" spans="1:7">
      <c r="A377" s="27">
        <v>372</v>
      </c>
      <c r="B377" s="28">
        <f>IF(A377&lt;=Analysis!$B$12,A377/Inputs!$B$15,0)</f>
        <v>0</v>
      </c>
      <c r="C377" s="29">
        <f>IF(A377&lt;=Analysis!$B$12,Analysis!$B$11+IF(A377=Analysis!$B$12,Analysis!$B$4,0),0)</f>
        <v>0</v>
      </c>
      <c r="D377" s="29">
        <f>IFERROR(IF(A377&lt;=Analysis!$B$12,1/POWER(1+Analysis!$B$18/Inputs!$B$15,A377),0),0)</f>
        <v>0</v>
      </c>
      <c r="E377" s="29">
        <f t="shared" si="15"/>
        <v>0</v>
      </c>
      <c r="F377" s="30">
        <f t="shared" si="16"/>
        <v>0</v>
      </c>
      <c r="G377" s="28">
        <f t="shared" si="17"/>
        <v>0</v>
      </c>
    </row>
    <row r="378" spans="1:7">
      <c r="A378" s="27">
        <v>373</v>
      </c>
      <c r="B378" s="28">
        <f>IF(A378&lt;=Analysis!$B$12,A378/Inputs!$B$15,0)</f>
        <v>0</v>
      </c>
      <c r="C378" s="29">
        <f>IF(A378&lt;=Analysis!$B$12,Analysis!$B$11+IF(A378=Analysis!$B$12,Analysis!$B$4,0),0)</f>
        <v>0</v>
      </c>
      <c r="D378" s="29">
        <f>IFERROR(IF(A378&lt;=Analysis!$B$12,1/POWER(1+Analysis!$B$18/Inputs!$B$15,A378),0),0)</f>
        <v>0</v>
      </c>
      <c r="E378" s="29">
        <f t="shared" si="15"/>
        <v>0</v>
      </c>
      <c r="F378" s="30">
        <f t="shared" si="16"/>
        <v>0</v>
      </c>
      <c r="G378" s="28">
        <f t="shared" si="17"/>
        <v>0</v>
      </c>
    </row>
    <row r="379" spans="1:7">
      <c r="A379" s="27">
        <v>374</v>
      </c>
      <c r="B379" s="28">
        <f>IF(A379&lt;=Analysis!$B$12,A379/Inputs!$B$15,0)</f>
        <v>0</v>
      </c>
      <c r="C379" s="29">
        <f>IF(A379&lt;=Analysis!$B$12,Analysis!$B$11+IF(A379=Analysis!$B$12,Analysis!$B$4,0),0)</f>
        <v>0</v>
      </c>
      <c r="D379" s="29">
        <f>IFERROR(IF(A379&lt;=Analysis!$B$12,1/POWER(1+Analysis!$B$18/Inputs!$B$15,A379),0),0)</f>
        <v>0</v>
      </c>
      <c r="E379" s="29">
        <f t="shared" si="15"/>
        <v>0</v>
      </c>
      <c r="F379" s="30">
        <f t="shared" si="16"/>
        <v>0</v>
      </c>
      <c r="G379" s="28">
        <f t="shared" si="17"/>
        <v>0</v>
      </c>
    </row>
    <row r="380" spans="1:7">
      <c r="A380" s="27">
        <v>375</v>
      </c>
      <c r="B380" s="28">
        <f>IF(A380&lt;=Analysis!$B$12,A380/Inputs!$B$15,0)</f>
        <v>0</v>
      </c>
      <c r="C380" s="29">
        <f>IF(A380&lt;=Analysis!$B$12,Analysis!$B$11+IF(A380=Analysis!$B$12,Analysis!$B$4,0),0)</f>
        <v>0</v>
      </c>
      <c r="D380" s="29">
        <f>IFERROR(IF(A380&lt;=Analysis!$B$12,1/POWER(1+Analysis!$B$18/Inputs!$B$15,A380),0),0)</f>
        <v>0</v>
      </c>
      <c r="E380" s="29">
        <f t="shared" si="15"/>
        <v>0</v>
      </c>
      <c r="F380" s="30">
        <f t="shared" si="16"/>
        <v>0</v>
      </c>
      <c r="G380" s="28">
        <f t="shared" si="17"/>
        <v>0</v>
      </c>
    </row>
    <row r="381" spans="1:7">
      <c r="A381" s="27">
        <v>376</v>
      </c>
      <c r="B381" s="28">
        <f>IF(A381&lt;=Analysis!$B$12,A381/Inputs!$B$15,0)</f>
        <v>0</v>
      </c>
      <c r="C381" s="29">
        <f>IF(A381&lt;=Analysis!$B$12,Analysis!$B$11+IF(A381=Analysis!$B$12,Analysis!$B$4,0),0)</f>
        <v>0</v>
      </c>
      <c r="D381" s="29">
        <f>IFERROR(IF(A381&lt;=Analysis!$B$12,1/POWER(1+Analysis!$B$18/Inputs!$B$15,A381),0),0)</f>
        <v>0</v>
      </c>
      <c r="E381" s="29">
        <f t="shared" si="15"/>
        <v>0</v>
      </c>
      <c r="F381" s="30">
        <f t="shared" si="16"/>
        <v>0</v>
      </c>
      <c r="G381" s="28">
        <f t="shared" si="17"/>
        <v>0</v>
      </c>
    </row>
    <row r="382" spans="1:7">
      <c r="A382" s="27">
        <v>377</v>
      </c>
      <c r="B382" s="28">
        <f>IF(A382&lt;=Analysis!$B$12,A382/Inputs!$B$15,0)</f>
        <v>0</v>
      </c>
      <c r="C382" s="29">
        <f>IF(A382&lt;=Analysis!$B$12,Analysis!$B$11+IF(A382=Analysis!$B$12,Analysis!$B$4,0),0)</f>
        <v>0</v>
      </c>
      <c r="D382" s="29">
        <f>IFERROR(IF(A382&lt;=Analysis!$B$12,1/POWER(1+Analysis!$B$18/Inputs!$B$15,A382),0),0)</f>
        <v>0</v>
      </c>
      <c r="E382" s="29">
        <f t="shared" si="15"/>
        <v>0</v>
      </c>
      <c r="F382" s="30">
        <f t="shared" si="16"/>
        <v>0</v>
      </c>
      <c r="G382" s="28">
        <f t="shared" si="17"/>
        <v>0</v>
      </c>
    </row>
    <row r="383" spans="1:7">
      <c r="A383" s="27">
        <v>378</v>
      </c>
      <c r="B383" s="28">
        <f>IF(A383&lt;=Analysis!$B$12,A383/Inputs!$B$15,0)</f>
        <v>0</v>
      </c>
      <c r="C383" s="29">
        <f>IF(A383&lt;=Analysis!$B$12,Analysis!$B$11+IF(A383=Analysis!$B$12,Analysis!$B$4,0),0)</f>
        <v>0</v>
      </c>
      <c r="D383" s="29">
        <f>IFERROR(IF(A383&lt;=Analysis!$B$12,1/POWER(1+Analysis!$B$18/Inputs!$B$15,A383),0),0)</f>
        <v>0</v>
      </c>
      <c r="E383" s="29">
        <f t="shared" si="15"/>
        <v>0</v>
      </c>
      <c r="F383" s="30">
        <f t="shared" si="16"/>
        <v>0</v>
      </c>
      <c r="G383" s="28">
        <f t="shared" si="17"/>
        <v>0</v>
      </c>
    </row>
    <row r="384" spans="1:7">
      <c r="A384" s="27">
        <v>379</v>
      </c>
      <c r="B384" s="28">
        <f>IF(A384&lt;=Analysis!$B$12,A384/Inputs!$B$15,0)</f>
        <v>0</v>
      </c>
      <c r="C384" s="29">
        <f>IF(A384&lt;=Analysis!$B$12,Analysis!$B$11+IF(A384=Analysis!$B$12,Analysis!$B$4,0),0)</f>
        <v>0</v>
      </c>
      <c r="D384" s="29">
        <f>IFERROR(IF(A384&lt;=Analysis!$B$12,1/POWER(1+Analysis!$B$18/Inputs!$B$15,A384),0),0)</f>
        <v>0</v>
      </c>
      <c r="E384" s="29">
        <f t="shared" si="15"/>
        <v>0</v>
      </c>
      <c r="F384" s="30">
        <f t="shared" si="16"/>
        <v>0</v>
      </c>
      <c r="G384" s="28">
        <f t="shared" si="17"/>
        <v>0</v>
      </c>
    </row>
    <row r="385" spans="1:7">
      <c r="A385" s="27">
        <v>380</v>
      </c>
      <c r="B385" s="28">
        <f>IF(A385&lt;=Analysis!$B$12,A385/Inputs!$B$15,0)</f>
        <v>0</v>
      </c>
      <c r="C385" s="29">
        <f>IF(A385&lt;=Analysis!$B$12,Analysis!$B$11+IF(A385=Analysis!$B$12,Analysis!$B$4,0),0)</f>
        <v>0</v>
      </c>
      <c r="D385" s="29">
        <f>IFERROR(IF(A385&lt;=Analysis!$B$12,1/POWER(1+Analysis!$B$18/Inputs!$B$15,A385),0),0)</f>
        <v>0</v>
      </c>
      <c r="E385" s="29">
        <f t="shared" si="15"/>
        <v>0</v>
      </c>
      <c r="F385" s="30">
        <f t="shared" si="16"/>
        <v>0</v>
      </c>
      <c r="G385" s="28">
        <f t="shared" si="17"/>
        <v>0</v>
      </c>
    </row>
    <row r="386" spans="1:7">
      <c r="A386" s="27">
        <v>381</v>
      </c>
      <c r="B386" s="28">
        <f>IF(A386&lt;=Analysis!$B$12,A386/Inputs!$B$15,0)</f>
        <v>0</v>
      </c>
      <c r="C386" s="29">
        <f>IF(A386&lt;=Analysis!$B$12,Analysis!$B$11+IF(A386=Analysis!$B$12,Analysis!$B$4,0),0)</f>
        <v>0</v>
      </c>
      <c r="D386" s="29">
        <f>IFERROR(IF(A386&lt;=Analysis!$B$12,1/POWER(1+Analysis!$B$18/Inputs!$B$15,A386),0),0)</f>
        <v>0</v>
      </c>
      <c r="E386" s="29">
        <f t="shared" si="15"/>
        <v>0</v>
      </c>
      <c r="F386" s="30">
        <f t="shared" si="16"/>
        <v>0</v>
      </c>
      <c r="G386" s="28">
        <f t="shared" si="17"/>
        <v>0</v>
      </c>
    </row>
    <row r="387" spans="1:7">
      <c r="A387" s="27">
        <v>382</v>
      </c>
      <c r="B387" s="28">
        <f>IF(A387&lt;=Analysis!$B$12,A387/Inputs!$B$15,0)</f>
        <v>0</v>
      </c>
      <c r="C387" s="29">
        <f>IF(A387&lt;=Analysis!$B$12,Analysis!$B$11+IF(A387=Analysis!$B$12,Analysis!$B$4,0),0)</f>
        <v>0</v>
      </c>
      <c r="D387" s="29">
        <f>IFERROR(IF(A387&lt;=Analysis!$B$12,1/POWER(1+Analysis!$B$18/Inputs!$B$15,A387),0),0)</f>
        <v>0</v>
      </c>
      <c r="E387" s="29">
        <f t="shared" si="15"/>
        <v>0</v>
      </c>
      <c r="F387" s="30">
        <f t="shared" si="16"/>
        <v>0</v>
      </c>
      <c r="G387" s="28">
        <f t="shared" si="17"/>
        <v>0</v>
      </c>
    </row>
    <row r="388" spans="1:7">
      <c r="A388" s="27">
        <v>383</v>
      </c>
      <c r="B388" s="28">
        <f>IF(A388&lt;=Analysis!$B$12,A388/Inputs!$B$15,0)</f>
        <v>0</v>
      </c>
      <c r="C388" s="29">
        <f>IF(A388&lt;=Analysis!$B$12,Analysis!$B$11+IF(A388=Analysis!$B$12,Analysis!$B$4,0),0)</f>
        <v>0</v>
      </c>
      <c r="D388" s="29">
        <f>IFERROR(IF(A388&lt;=Analysis!$B$12,1/POWER(1+Analysis!$B$18/Inputs!$B$15,A388),0),0)</f>
        <v>0</v>
      </c>
      <c r="E388" s="29">
        <f t="shared" si="15"/>
        <v>0</v>
      </c>
      <c r="F388" s="30">
        <f t="shared" si="16"/>
        <v>0</v>
      </c>
      <c r="G388" s="28">
        <f t="shared" si="17"/>
        <v>0</v>
      </c>
    </row>
    <row r="389" spans="1:7">
      <c r="A389" s="27">
        <v>384</v>
      </c>
      <c r="B389" s="28">
        <f>IF(A389&lt;=Analysis!$B$12,A389/Inputs!$B$15,0)</f>
        <v>0</v>
      </c>
      <c r="C389" s="29">
        <f>IF(A389&lt;=Analysis!$B$12,Analysis!$B$11+IF(A389=Analysis!$B$12,Analysis!$B$4,0),0)</f>
        <v>0</v>
      </c>
      <c r="D389" s="29">
        <f>IFERROR(IF(A389&lt;=Analysis!$B$12,1/POWER(1+Analysis!$B$18/Inputs!$B$15,A389),0),0)</f>
        <v>0</v>
      </c>
      <c r="E389" s="29">
        <f t="shared" si="15"/>
        <v>0</v>
      </c>
      <c r="F389" s="30">
        <f t="shared" si="16"/>
        <v>0</v>
      </c>
      <c r="G389" s="28">
        <f t="shared" si="17"/>
        <v>0</v>
      </c>
    </row>
    <row r="390" spans="1:7">
      <c r="A390" s="27">
        <v>385</v>
      </c>
      <c r="B390" s="28">
        <f>IF(A390&lt;=Analysis!$B$12,A390/Inputs!$B$15,0)</f>
        <v>0</v>
      </c>
      <c r="C390" s="29">
        <f>IF(A390&lt;=Analysis!$B$12,Analysis!$B$11+IF(A390=Analysis!$B$12,Analysis!$B$4,0),0)</f>
        <v>0</v>
      </c>
      <c r="D390" s="29">
        <f>IFERROR(IF(A390&lt;=Analysis!$B$12,1/POWER(1+Analysis!$B$18/Inputs!$B$15,A390),0),0)</f>
        <v>0</v>
      </c>
      <c r="E390" s="29">
        <f t="shared" ref="E390:E453" si="18">C390*D390</f>
        <v>0</v>
      </c>
      <c r="F390" s="30">
        <f t="shared" ref="F390:F453" si="19">IFERROR(E390/SUM($E$6:$E$605),0)</f>
        <v>0</v>
      </c>
      <c r="G390" s="28">
        <f t="shared" ref="G390:G453" si="20">B390*F390</f>
        <v>0</v>
      </c>
    </row>
    <row r="391" spans="1:7">
      <c r="A391" s="27">
        <v>386</v>
      </c>
      <c r="B391" s="28">
        <f>IF(A391&lt;=Analysis!$B$12,A391/Inputs!$B$15,0)</f>
        <v>0</v>
      </c>
      <c r="C391" s="29">
        <f>IF(A391&lt;=Analysis!$B$12,Analysis!$B$11+IF(A391=Analysis!$B$12,Analysis!$B$4,0),0)</f>
        <v>0</v>
      </c>
      <c r="D391" s="29">
        <f>IFERROR(IF(A391&lt;=Analysis!$B$12,1/POWER(1+Analysis!$B$18/Inputs!$B$15,A391),0),0)</f>
        <v>0</v>
      </c>
      <c r="E391" s="29">
        <f t="shared" si="18"/>
        <v>0</v>
      </c>
      <c r="F391" s="30">
        <f t="shared" si="19"/>
        <v>0</v>
      </c>
      <c r="G391" s="28">
        <f t="shared" si="20"/>
        <v>0</v>
      </c>
    </row>
    <row r="392" spans="1:7">
      <c r="A392" s="27">
        <v>387</v>
      </c>
      <c r="B392" s="28">
        <f>IF(A392&lt;=Analysis!$B$12,A392/Inputs!$B$15,0)</f>
        <v>0</v>
      </c>
      <c r="C392" s="29">
        <f>IF(A392&lt;=Analysis!$B$12,Analysis!$B$11+IF(A392=Analysis!$B$12,Analysis!$B$4,0),0)</f>
        <v>0</v>
      </c>
      <c r="D392" s="29">
        <f>IFERROR(IF(A392&lt;=Analysis!$B$12,1/POWER(1+Analysis!$B$18/Inputs!$B$15,A392),0),0)</f>
        <v>0</v>
      </c>
      <c r="E392" s="29">
        <f t="shared" si="18"/>
        <v>0</v>
      </c>
      <c r="F392" s="30">
        <f t="shared" si="19"/>
        <v>0</v>
      </c>
      <c r="G392" s="28">
        <f t="shared" si="20"/>
        <v>0</v>
      </c>
    </row>
    <row r="393" spans="1:7">
      <c r="A393" s="27">
        <v>388</v>
      </c>
      <c r="B393" s="28">
        <f>IF(A393&lt;=Analysis!$B$12,A393/Inputs!$B$15,0)</f>
        <v>0</v>
      </c>
      <c r="C393" s="29">
        <f>IF(A393&lt;=Analysis!$B$12,Analysis!$B$11+IF(A393=Analysis!$B$12,Analysis!$B$4,0),0)</f>
        <v>0</v>
      </c>
      <c r="D393" s="29">
        <f>IFERROR(IF(A393&lt;=Analysis!$B$12,1/POWER(1+Analysis!$B$18/Inputs!$B$15,A393),0),0)</f>
        <v>0</v>
      </c>
      <c r="E393" s="29">
        <f t="shared" si="18"/>
        <v>0</v>
      </c>
      <c r="F393" s="30">
        <f t="shared" si="19"/>
        <v>0</v>
      </c>
      <c r="G393" s="28">
        <f t="shared" si="20"/>
        <v>0</v>
      </c>
    </row>
    <row r="394" spans="1:7">
      <c r="A394" s="27">
        <v>389</v>
      </c>
      <c r="B394" s="28">
        <f>IF(A394&lt;=Analysis!$B$12,A394/Inputs!$B$15,0)</f>
        <v>0</v>
      </c>
      <c r="C394" s="29">
        <f>IF(A394&lt;=Analysis!$B$12,Analysis!$B$11+IF(A394=Analysis!$B$12,Analysis!$B$4,0),0)</f>
        <v>0</v>
      </c>
      <c r="D394" s="29">
        <f>IFERROR(IF(A394&lt;=Analysis!$B$12,1/POWER(1+Analysis!$B$18/Inputs!$B$15,A394),0),0)</f>
        <v>0</v>
      </c>
      <c r="E394" s="29">
        <f t="shared" si="18"/>
        <v>0</v>
      </c>
      <c r="F394" s="30">
        <f t="shared" si="19"/>
        <v>0</v>
      </c>
      <c r="G394" s="28">
        <f t="shared" si="20"/>
        <v>0</v>
      </c>
    </row>
    <row r="395" spans="1:7">
      <c r="A395" s="27">
        <v>390</v>
      </c>
      <c r="B395" s="28">
        <f>IF(A395&lt;=Analysis!$B$12,A395/Inputs!$B$15,0)</f>
        <v>0</v>
      </c>
      <c r="C395" s="29">
        <f>IF(A395&lt;=Analysis!$B$12,Analysis!$B$11+IF(A395=Analysis!$B$12,Analysis!$B$4,0),0)</f>
        <v>0</v>
      </c>
      <c r="D395" s="29">
        <f>IFERROR(IF(A395&lt;=Analysis!$B$12,1/POWER(1+Analysis!$B$18/Inputs!$B$15,A395),0),0)</f>
        <v>0</v>
      </c>
      <c r="E395" s="29">
        <f t="shared" si="18"/>
        <v>0</v>
      </c>
      <c r="F395" s="30">
        <f t="shared" si="19"/>
        <v>0</v>
      </c>
      <c r="G395" s="28">
        <f t="shared" si="20"/>
        <v>0</v>
      </c>
    </row>
    <row r="396" spans="1:7">
      <c r="A396" s="27">
        <v>391</v>
      </c>
      <c r="B396" s="28">
        <f>IF(A396&lt;=Analysis!$B$12,A396/Inputs!$B$15,0)</f>
        <v>0</v>
      </c>
      <c r="C396" s="29">
        <f>IF(A396&lt;=Analysis!$B$12,Analysis!$B$11+IF(A396=Analysis!$B$12,Analysis!$B$4,0),0)</f>
        <v>0</v>
      </c>
      <c r="D396" s="29">
        <f>IFERROR(IF(A396&lt;=Analysis!$B$12,1/POWER(1+Analysis!$B$18/Inputs!$B$15,A396),0),0)</f>
        <v>0</v>
      </c>
      <c r="E396" s="29">
        <f t="shared" si="18"/>
        <v>0</v>
      </c>
      <c r="F396" s="30">
        <f t="shared" si="19"/>
        <v>0</v>
      </c>
      <c r="G396" s="28">
        <f t="shared" si="20"/>
        <v>0</v>
      </c>
    </row>
    <row r="397" spans="1:7">
      <c r="A397" s="27">
        <v>392</v>
      </c>
      <c r="B397" s="28">
        <f>IF(A397&lt;=Analysis!$B$12,A397/Inputs!$B$15,0)</f>
        <v>0</v>
      </c>
      <c r="C397" s="29">
        <f>IF(A397&lt;=Analysis!$B$12,Analysis!$B$11+IF(A397=Analysis!$B$12,Analysis!$B$4,0),0)</f>
        <v>0</v>
      </c>
      <c r="D397" s="29">
        <f>IFERROR(IF(A397&lt;=Analysis!$B$12,1/POWER(1+Analysis!$B$18/Inputs!$B$15,A397),0),0)</f>
        <v>0</v>
      </c>
      <c r="E397" s="29">
        <f t="shared" si="18"/>
        <v>0</v>
      </c>
      <c r="F397" s="30">
        <f t="shared" si="19"/>
        <v>0</v>
      </c>
      <c r="G397" s="28">
        <f t="shared" si="20"/>
        <v>0</v>
      </c>
    </row>
    <row r="398" spans="1:7">
      <c r="A398" s="27">
        <v>393</v>
      </c>
      <c r="B398" s="28">
        <f>IF(A398&lt;=Analysis!$B$12,A398/Inputs!$B$15,0)</f>
        <v>0</v>
      </c>
      <c r="C398" s="29">
        <f>IF(A398&lt;=Analysis!$B$12,Analysis!$B$11+IF(A398=Analysis!$B$12,Analysis!$B$4,0),0)</f>
        <v>0</v>
      </c>
      <c r="D398" s="29">
        <f>IFERROR(IF(A398&lt;=Analysis!$B$12,1/POWER(1+Analysis!$B$18/Inputs!$B$15,A398),0),0)</f>
        <v>0</v>
      </c>
      <c r="E398" s="29">
        <f t="shared" si="18"/>
        <v>0</v>
      </c>
      <c r="F398" s="30">
        <f t="shared" si="19"/>
        <v>0</v>
      </c>
      <c r="G398" s="28">
        <f t="shared" si="20"/>
        <v>0</v>
      </c>
    </row>
    <row r="399" spans="1:7">
      <c r="A399" s="27">
        <v>394</v>
      </c>
      <c r="B399" s="28">
        <f>IF(A399&lt;=Analysis!$B$12,A399/Inputs!$B$15,0)</f>
        <v>0</v>
      </c>
      <c r="C399" s="29">
        <f>IF(A399&lt;=Analysis!$B$12,Analysis!$B$11+IF(A399=Analysis!$B$12,Analysis!$B$4,0),0)</f>
        <v>0</v>
      </c>
      <c r="D399" s="29">
        <f>IFERROR(IF(A399&lt;=Analysis!$B$12,1/POWER(1+Analysis!$B$18/Inputs!$B$15,A399),0),0)</f>
        <v>0</v>
      </c>
      <c r="E399" s="29">
        <f t="shared" si="18"/>
        <v>0</v>
      </c>
      <c r="F399" s="30">
        <f t="shared" si="19"/>
        <v>0</v>
      </c>
      <c r="G399" s="28">
        <f t="shared" si="20"/>
        <v>0</v>
      </c>
    </row>
    <row r="400" spans="1:7">
      <c r="A400" s="27">
        <v>395</v>
      </c>
      <c r="B400" s="28">
        <f>IF(A400&lt;=Analysis!$B$12,A400/Inputs!$B$15,0)</f>
        <v>0</v>
      </c>
      <c r="C400" s="29">
        <f>IF(A400&lt;=Analysis!$B$12,Analysis!$B$11+IF(A400=Analysis!$B$12,Analysis!$B$4,0),0)</f>
        <v>0</v>
      </c>
      <c r="D400" s="29">
        <f>IFERROR(IF(A400&lt;=Analysis!$B$12,1/POWER(1+Analysis!$B$18/Inputs!$B$15,A400),0),0)</f>
        <v>0</v>
      </c>
      <c r="E400" s="29">
        <f t="shared" si="18"/>
        <v>0</v>
      </c>
      <c r="F400" s="30">
        <f t="shared" si="19"/>
        <v>0</v>
      </c>
      <c r="G400" s="28">
        <f t="shared" si="20"/>
        <v>0</v>
      </c>
    </row>
    <row r="401" spans="1:7">
      <c r="A401" s="27">
        <v>396</v>
      </c>
      <c r="B401" s="28">
        <f>IF(A401&lt;=Analysis!$B$12,A401/Inputs!$B$15,0)</f>
        <v>0</v>
      </c>
      <c r="C401" s="29">
        <f>IF(A401&lt;=Analysis!$B$12,Analysis!$B$11+IF(A401=Analysis!$B$12,Analysis!$B$4,0),0)</f>
        <v>0</v>
      </c>
      <c r="D401" s="29">
        <f>IFERROR(IF(A401&lt;=Analysis!$B$12,1/POWER(1+Analysis!$B$18/Inputs!$B$15,A401),0),0)</f>
        <v>0</v>
      </c>
      <c r="E401" s="29">
        <f t="shared" si="18"/>
        <v>0</v>
      </c>
      <c r="F401" s="30">
        <f t="shared" si="19"/>
        <v>0</v>
      </c>
      <c r="G401" s="28">
        <f t="shared" si="20"/>
        <v>0</v>
      </c>
    </row>
    <row r="402" spans="1:7">
      <c r="A402" s="27">
        <v>397</v>
      </c>
      <c r="B402" s="28">
        <f>IF(A402&lt;=Analysis!$B$12,A402/Inputs!$B$15,0)</f>
        <v>0</v>
      </c>
      <c r="C402" s="29">
        <f>IF(A402&lt;=Analysis!$B$12,Analysis!$B$11+IF(A402=Analysis!$B$12,Analysis!$B$4,0),0)</f>
        <v>0</v>
      </c>
      <c r="D402" s="29">
        <f>IFERROR(IF(A402&lt;=Analysis!$B$12,1/POWER(1+Analysis!$B$18/Inputs!$B$15,A402),0),0)</f>
        <v>0</v>
      </c>
      <c r="E402" s="29">
        <f t="shared" si="18"/>
        <v>0</v>
      </c>
      <c r="F402" s="30">
        <f t="shared" si="19"/>
        <v>0</v>
      </c>
      <c r="G402" s="28">
        <f t="shared" si="20"/>
        <v>0</v>
      </c>
    </row>
    <row r="403" spans="1:7">
      <c r="A403" s="27">
        <v>398</v>
      </c>
      <c r="B403" s="28">
        <f>IF(A403&lt;=Analysis!$B$12,A403/Inputs!$B$15,0)</f>
        <v>0</v>
      </c>
      <c r="C403" s="29">
        <f>IF(A403&lt;=Analysis!$B$12,Analysis!$B$11+IF(A403=Analysis!$B$12,Analysis!$B$4,0),0)</f>
        <v>0</v>
      </c>
      <c r="D403" s="29">
        <f>IFERROR(IF(A403&lt;=Analysis!$B$12,1/POWER(1+Analysis!$B$18/Inputs!$B$15,A403),0),0)</f>
        <v>0</v>
      </c>
      <c r="E403" s="29">
        <f t="shared" si="18"/>
        <v>0</v>
      </c>
      <c r="F403" s="30">
        <f t="shared" si="19"/>
        <v>0</v>
      </c>
      <c r="G403" s="28">
        <f t="shared" si="20"/>
        <v>0</v>
      </c>
    </row>
    <row r="404" spans="1:7">
      <c r="A404" s="27">
        <v>399</v>
      </c>
      <c r="B404" s="28">
        <f>IF(A404&lt;=Analysis!$B$12,A404/Inputs!$B$15,0)</f>
        <v>0</v>
      </c>
      <c r="C404" s="29">
        <f>IF(A404&lt;=Analysis!$B$12,Analysis!$B$11+IF(A404=Analysis!$B$12,Analysis!$B$4,0),0)</f>
        <v>0</v>
      </c>
      <c r="D404" s="29">
        <f>IFERROR(IF(A404&lt;=Analysis!$B$12,1/POWER(1+Analysis!$B$18/Inputs!$B$15,A404),0),0)</f>
        <v>0</v>
      </c>
      <c r="E404" s="29">
        <f t="shared" si="18"/>
        <v>0</v>
      </c>
      <c r="F404" s="30">
        <f t="shared" si="19"/>
        <v>0</v>
      </c>
      <c r="G404" s="28">
        <f t="shared" si="20"/>
        <v>0</v>
      </c>
    </row>
    <row r="405" spans="1:7">
      <c r="A405" s="27">
        <v>400</v>
      </c>
      <c r="B405" s="28">
        <f>IF(A405&lt;=Analysis!$B$12,A405/Inputs!$B$15,0)</f>
        <v>0</v>
      </c>
      <c r="C405" s="29">
        <f>IF(A405&lt;=Analysis!$B$12,Analysis!$B$11+IF(A405=Analysis!$B$12,Analysis!$B$4,0),0)</f>
        <v>0</v>
      </c>
      <c r="D405" s="29">
        <f>IFERROR(IF(A405&lt;=Analysis!$B$12,1/POWER(1+Analysis!$B$18/Inputs!$B$15,A405),0),0)</f>
        <v>0</v>
      </c>
      <c r="E405" s="29">
        <f t="shared" si="18"/>
        <v>0</v>
      </c>
      <c r="F405" s="30">
        <f t="shared" si="19"/>
        <v>0</v>
      </c>
      <c r="G405" s="28">
        <f t="shared" si="20"/>
        <v>0</v>
      </c>
    </row>
    <row r="406" spans="1:7">
      <c r="A406" s="27">
        <v>401</v>
      </c>
      <c r="B406" s="28">
        <f>IF(A406&lt;=Analysis!$B$12,A406/Inputs!$B$15,0)</f>
        <v>0</v>
      </c>
      <c r="C406" s="29">
        <f>IF(A406&lt;=Analysis!$B$12,Analysis!$B$11+IF(A406=Analysis!$B$12,Analysis!$B$4,0),0)</f>
        <v>0</v>
      </c>
      <c r="D406" s="29">
        <f>IFERROR(IF(A406&lt;=Analysis!$B$12,1/POWER(1+Analysis!$B$18/Inputs!$B$15,A406),0),0)</f>
        <v>0</v>
      </c>
      <c r="E406" s="29">
        <f t="shared" si="18"/>
        <v>0</v>
      </c>
      <c r="F406" s="30">
        <f t="shared" si="19"/>
        <v>0</v>
      </c>
      <c r="G406" s="28">
        <f t="shared" si="20"/>
        <v>0</v>
      </c>
    </row>
    <row r="407" spans="1:7">
      <c r="A407" s="27">
        <v>402</v>
      </c>
      <c r="B407" s="28">
        <f>IF(A407&lt;=Analysis!$B$12,A407/Inputs!$B$15,0)</f>
        <v>0</v>
      </c>
      <c r="C407" s="29">
        <f>IF(A407&lt;=Analysis!$B$12,Analysis!$B$11+IF(A407=Analysis!$B$12,Analysis!$B$4,0),0)</f>
        <v>0</v>
      </c>
      <c r="D407" s="29">
        <f>IFERROR(IF(A407&lt;=Analysis!$B$12,1/POWER(1+Analysis!$B$18/Inputs!$B$15,A407),0),0)</f>
        <v>0</v>
      </c>
      <c r="E407" s="29">
        <f t="shared" si="18"/>
        <v>0</v>
      </c>
      <c r="F407" s="30">
        <f t="shared" si="19"/>
        <v>0</v>
      </c>
      <c r="G407" s="28">
        <f t="shared" si="20"/>
        <v>0</v>
      </c>
    </row>
    <row r="408" spans="1:7">
      <c r="A408" s="27">
        <v>403</v>
      </c>
      <c r="B408" s="28">
        <f>IF(A408&lt;=Analysis!$B$12,A408/Inputs!$B$15,0)</f>
        <v>0</v>
      </c>
      <c r="C408" s="29">
        <f>IF(A408&lt;=Analysis!$B$12,Analysis!$B$11+IF(A408=Analysis!$B$12,Analysis!$B$4,0),0)</f>
        <v>0</v>
      </c>
      <c r="D408" s="29">
        <f>IFERROR(IF(A408&lt;=Analysis!$B$12,1/POWER(1+Analysis!$B$18/Inputs!$B$15,A408),0),0)</f>
        <v>0</v>
      </c>
      <c r="E408" s="29">
        <f t="shared" si="18"/>
        <v>0</v>
      </c>
      <c r="F408" s="30">
        <f t="shared" si="19"/>
        <v>0</v>
      </c>
      <c r="G408" s="28">
        <f t="shared" si="20"/>
        <v>0</v>
      </c>
    </row>
    <row r="409" spans="1:7">
      <c r="A409" s="27">
        <v>404</v>
      </c>
      <c r="B409" s="28">
        <f>IF(A409&lt;=Analysis!$B$12,A409/Inputs!$B$15,0)</f>
        <v>0</v>
      </c>
      <c r="C409" s="29">
        <f>IF(A409&lt;=Analysis!$B$12,Analysis!$B$11+IF(A409=Analysis!$B$12,Analysis!$B$4,0),0)</f>
        <v>0</v>
      </c>
      <c r="D409" s="29">
        <f>IFERROR(IF(A409&lt;=Analysis!$B$12,1/POWER(1+Analysis!$B$18/Inputs!$B$15,A409),0),0)</f>
        <v>0</v>
      </c>
      <c r="E409" s="29">
        <f t="shared" si="18"/>
        <v>0</v>
      </c>
      <c r="F409" s="30">
        <f t="shared" si="19"/>
        <v>0</v>
      </c>
      <c r="G409" s="28">
        <f t="shared" si="20"/>
        <v>0</v>
      </c>
    </row>
    <row r="410" spans="1:7">
      <c r="A410" s="27">
        <v>405</v>
      </c>
      <c r="B410" s="28">
        <f>IF(A410&lt;=Analysis!$B$12,A410/Inputs!$B$15,0)</f>
        <v>0</v>
      </c>
      <c r="C410" s="29">
        <f>IF(A410&lt;=Analysis!$B$12,Analysis!$B$11+IF(A410=Analysis!$B$12,Analysis!$B$4,0),0)</f>
        <v>0</v>
      </c>
      <c r="D410" s="29">
        <f>IFERROR(IF(A410&lt;=Analysis!$B$12,1/POWER(1+Analysis!$B$18/Inputs!$B$15,A410),0),0)</f>
        <v>0</v>
      </c>
      <c r="E410" s="29">
        <f t="shared" si="18"/>
        <v>0</v>
      </c>
      <c r="F410" s="30">
        <f t="shared" si="19"/>
        <v>0</v>
      </c>
      <c r="G410" s="28">
        <f t="shared" si="20"/>
        <v>0</v>
      </c>
    </row>
    <row r="411" spans="1:7">
      <c r="A411" s="27">
        <v>406</v>
      </c>
      <c r="B411" s="28">
        <f>IF(A411&lt;=Analysis!$B$12,A411/Inputs!$B$15,0)</f>
        <v>0</v>
      </c>
      <c r="C411" s="29">
        <f>IF(A411&lt;=Analysis!$B$12,Analysis!$B$11+IF(A411=Analysis!$B$12,Analysis!$B$4,0),0)</f>
        <v>0</v>
      </c>
      <c r="D411" s="29">
        <f>IFERROR(IF(A411&lt;=Analysis!$B$12,1/POWER(1+Analysis!$B$18/Inputs!$B$15,A411),0),0)</f>
        <v>0</v>
      </c>
      <c r="E411" s="29">
        <f t="shared" si="18"/>
        <v>0</v>
      </c>
      <c r="F411" s="30">
        <f t="shared" si="19"/>
        <v>0</v>
      </c>
      <c r="G411" s="28">
        <f t="shared" si="20"/>
        <v>0</v>
      </c>
    </row>
    <row r="412" spans="1:7">
      <c r="A412" s="27">
        <v>407</v>
      </c>
      <c r="B412" s="28">
        <f>IF(A412&lt;=Analysis!$B$12,A412/Inputs!$B$15,0)</f>
        <v>0</v>
      </c>
      <c r="C412" s="29">
        <f>IF(A412&lt;=Analysis!$B$12,Analysis!$B$11+IF(A412=Analysis!$B$12,Analysis!$B$4,0),0)</f>
        <v>0</v>
      </c>
      <c r="D412" s="29">
        <f>IFERROR(IF(A412&lt;=Analysis!$B$12,1/POWER(1+Analysis!$B$18/Inputs!$B$15,A412),0),0)</f>
        <v>0</v>
      </c>
      <c r="E412" s="29">
        <f t="shared" si="18"/>
        <v>0</v>
      </c>
      <c r="F412" s="30">
        <f t="shared" si="19"/>
        <v>0</v>
      </c>
      <c r="G412" s="28">
        <f t="shared" si="20"/>
        <v>0</v>
      </c>
    </row>
    <row r="413" spans="1:7">
      <c r="A413" s="27">
        <v>408</v>
      </c>
      <c r="B413" s="28">
        <f>IF(A413&lt;=Analysis!$B$12,A413/Inputs!$B$15,0)</f>
        <v>0</v>
      </c>
      <c r="C413" s="29">
        <f>IF(A413&lt;=Analysis!$B$12,Analysis!$B$11+IF(A413=Analysis!$B$12,Analysis!$B$4,0),0)</f>
        <v>0</v>
      </c>
      <c r="D413" s="29">
        <f>IFERROR(IF(A413&lt;=Analysis!$B$12,1/POWER(1+Analysis!$B$18/Inputs!$B$15,A413),0),0)</f>
        <v>0</v>
      </c>
      <c r="E413" s="29">
        <f t="shared" si="18"/>
        <v>0</v>
      </c>
      <c r="F413" s="30">
        <f t="shared" si="19"/>
        <v>0</v>
      </c>
      <c r="G413" s="28">
        <f t="shared" si="20"/>
        <v>0</v>
      </c>
    </row>
    <row r="414" spans="1:7">
      <c r="A414" s="27">
        <v>409</v>
      </c>
      <c r="B414" s="28">
        <f>IF(A414&lt;=Analysis!$B$12,A414/Inputs!$B$15,0)</f>
        <v>0</v>
      </c>
      <c r="C414" s="29">
        <f>IF(A414&lt;=Analysis!$B$12,Analysis!$B$11+IF(A414=Analysis!$B$12,Analysis!$B$4,0),0)</f>
        <v>0</v>
      </c>
      <c r="D414" s="29">
        <f>IFERROR(IF(A414&lt;=Analysis!$B$12,1/POWER(1+Analysis!$B$18/Inputs!$B$15,A414),0),0)</f>
        <v>0</v>
      </c>
      <c r="E414" s="29">
        <f t="shared" si="18"/>
        <v>0</v>
      </c>
      <c r="F414" s="30">
        <f t="shared" si="19"/>
        <v>0</v>
      </c>
      <c r="G414" s="28">
        <f t="shared" si="20"/>
        <v>0</v>
      </c>
    </row>
    <row r="415" spans="1:7">
      <c r="A415" s="27">
        <v>410</v>
      </c>
      <c r="B415" s="28">
        <f>IF(A415&lt;=Analysis!$B$12,A415/Inputs!$B$15,0)</f>
        <v>0</v>
      </c>
      <c r="C415" s="29">
        <f>IF(A415&lt;=Analysis!$B$12,Analysis!$B$11+IF(A415=Analysis!$B$12,Analysis!$B$4,0),0)</f>
        <v>0</v>
      </c>
      <c r="D415" s="29">
        <f>IFERROR(IF(A415&lt;=Analysis!$B$12,1/POWER(1+Analysis!$B$18/Inputs!$B$15,A415),0),0)</f>
        <v>0</v>
      </c>
      <c r="E415" s="29">
        <f t="shared" si="18"/>
        <v>0</v>
      </c>
      <c r="F415" s="30">
        <f t="shared" si="19"/>
        <v>0</v>
      </c>
      <c r="G415" s="28">
        <f t="shared" si="20"/>
        <v>0</v>
      </c>
    </row>
    <row r="416" spans="1:7">
      <c r="A416" s="27">
        <v>411</v>
      </c>
      <c r="B416" s="28">
        <f>IF(A416&lt;=Analysis!$B$12,A416/Inputs!$B$15,0)</f>
        <v>0</v>
      </c>
      <c r="C416" s="29">
        <f>IF(A416&lt;=Analysis!$B$12,Analysis!$B$11+IF(A416=Analysis!$B$12,Analysis!$B$4,0),0)</f>
        <v>0</v>
      </c>
      <c r="D416" s="29">
        <f>IFERROR(IF(A416&lt;=Analysis!$B$12,1/POWER(1+Analysis!$B$18/Inputs!$B$15,A416),0),0)</f>
        <v>0</v>
      </c>
      <c r="E416" s="29">
        <f t="shared" si="18"/>
        <v>0</v>
      </c>
      <c r="F416" s="30">
        <f t="shared" si="19"/>
        <v>0</v>
      </c>
      <c r="G416" s="28">
        <f t="shared" si="20"/>
        <v>0</v>
      </c>
    </row>
    <row r="417" spans="1:7">
      <c r="A417" s="27">
        <v>412</v>
      </c>
      <c r="B417" s="28">
        <f>IF(A417&lt;=Analysis!$B$12,A417/Inputs!$B$15,0)</f>
        <v>0</v>
      </c>
      <c r="C417" s="29">
        <f>IF(A417&lt;=Analysis!$B$12,Analysis!$B$11+IF(A417=Analysis!$B$12,Analysis!$B$4,0),0)</f>
        <v>0</v>
      </c>
      <c r="D417" s="29">
        <f>IFERROR(IF(A417&lt;=Analysis!$B$12,1/POWER(1+Analysis!$B$18/Inputs!$B$15,A417),0),0)</f>
        <v>0</v>
      </c>
      <c r="E417" s="29">
        <f t="shared" si="18"/>
        <v>0</v>
      </c>
      <c r="F417" s="30">
        <f t="shared" si="19"/>
        <v>0</v>
      </c>
      <c r="G417" s="28">
        <f t="shared" si="20"/>
        <v>0</v>
      </c>
    </row>
    <row r="418" spans="1:7">
      <c r="A418" s="27">
        <v>413</v>
      </c>
      <c r="B418" s="28">
        <f>IF(A418&lt;=Analysis!$B$12,A418/Inputs!$B$15,0)</f>
        <v>0</v>
      </c>
      <c r="C418" s="29">
        <f>IF(A418&lt;=Analysis!$B$12,Analysis!$B$11+IF(A418=Analysis!$B$12,Analysis!$B$4,0),0)</f>
        <v>0</v>
      </c>
      <c r="D418" s="29">
        <f>IFERROR(IF(A418&lt;=Analysis!$B$12,1/POWER(1+Analysis!$B$18/Inputs!$B$15,A418),0),0)</f>
        <v>0</v>
      </c>
      <c r="E418" s="29">
        <f t="shared" si="18"/>
        <v>0</v>
      </c>
      <c r="F418" s="30">
        <f t="shared" si="19"/>
        <v>0</v>
      </c>
      <c r="G418" s="28">
        <f t="shared" si="20"/>
        <v>0</v>
      </c>
    </row>
    <row r="419" spans="1:7">
      <c r="A419" s="27">
        <v>414</v>
      </c>
      <c r="B419" s="28">
        <f>IF(A419&lt;=Analysis!$B$12,A419/Inputs!$B$15,0)</f>
        <v>0</v>
      </c>
      <c r="C419" s="29">
        <f>IF(A419&lt;=Analysis!$B$12,Analysis!$B$11+IF(A419=Analysis!$B$12,Analysis!$B$4,0),0)</f>
        <v>0</v>
      </c>
      <c r="D419" s="29">
        <f>IFERROR(IF(A419&lt;=Analysis!$B$12,1/POWER(1+Analysis!$B$18/Inputs!$B$15,A419),0),0)</f>
        <v>0</v>
      </c>
      <c r="E419" s="29">
        <f t="shared" si="18"/>
        <v>0</v>
      </c>
      <c r="F419" s="30">
        <f t="shared" si="19"/>
        <v>0</v>
      </c>
      <c r="G419" s="28">
        <f t="shared" si="20"/>
        <v>0</v>
      </c>
    </row>
    <row r="420" spans="1:7">
      <c r="A420" s="27">
        <v>415</v>
      </c>
      <c r="B420" s="28">
        <f>IF(A420&lt;=Analysis!$B$12,A420/Inputs!$B$15,0)</f>
        <v>0</v>
      </c>
      <c r="C420" s="29">
        <f>IF(A420&lt;=Analysis!$B$12,Analysis!$B$11+IF(A420=Analysis!$B$12,Analysis!$B$4,0),0)</f>
        <v>0</v>
      </c>
      <c r="D420" s="29">
        <f>IFERROR(IF(A420&lt;=Analysis!$B$12,1/POWER(1+Analysis!$B$18/Inputs!$B$15,A420),0),0)</f>
        <v>0</v>
      </c>
      <c r="E420" s="29">
        <f t="shared" si="18"/>
        <v>0</v>
      </c>
      <c r="F420" s="30">
        <f t="shared" si="19"/>
        <v>0</v>
      </c>
      <c r="G420" s="28">
        <f t="shared" si="20"/>
        <v>0</v>
      </c>
    </row>
    <row r="421" spans="1:7">
      <c r="A421" s="27">
        <v>416</v>
      </c>
      <c r="B421" s="28">
        <f>IF(A421&lt;=Analysis!$B$12,A421/Inputs!$B$15,0)</f>
        <v>0</v>
      </c>
      <c r="C421" s="29">
        <f>IF(A421&lt;=Analysis!$B$12,Analysis!$B$11+IF(A421=Analysis!$B$12,Analysis!$B$4,0),0)</f>
        <v>0</v>
      </c>
      <c r="D421" s="29">
        <f>IFERROR(IF(A421&lt;=Analysis!$B$12,1/POWER(1+Analysis!$B$18/Inputs!$B$15,A421),0),0)</f>
        <v>0</v>
      </c>
      <c r="E421" s="29">
        <f t="shared" si="18"/>
        <v>0</v>
      </c>
      <c r="F421" s="30">
        <f t="shared" si="19"/>
        <v>0</v>
      </c>
      <c r="G421" s="28">
        <f t="shared" si="20"/>
        <v>0</v>
      </c>
    </row>
    <row r="422" spans="1:7">
      <c r="A422" s="27">
        <v>417</v>
      </c>
      <c r="B422" s="28">
        <f>IF(A422&lt;=Analysis!$B$12,A422/Inputs!$B$15,0)</f>
        <v>0</v>
      </c>
      <c r="C422" s="29">
        <f>IF(A422&lt;=Analysis!$B$12,Analysis!$B$11+IF(A422=Analysis!$B$12,Analysis!$B$4,0),0)</f>
        <v>0</v>
      </c>
      <c r="D422" s="29">
        <f>IFERROR(IF(A422&lt;=Analysis!$B$12,1/POWER(1+Analysis!$B$18/Inputs!$B$15,A422),0),0)</f>
        <v>0</v>
      </c>
      <c r="E422" s="29">
        <f t="shared" si="18"/>
        <v>0</v>
      </c>
      <c r="F422" s="30">
        <f t="shared" si="19"/>
        <v>0</v>
      </c>
      <c r="G422" s="28">
        <f t="shared" si="20"/>
        <v>0</v>
      </c>
    </row>
    <row r="423" spans="1:7">
      <c r="A423" s="27">
        <v>418</v>
      </c>
      <c r="B423" s="28">
        <f>IF(A423&lt;=Analysis!$B$12,A423/Inputs!$B$15,0)</f>
        <v>0</v>
      </c>
      <c r="C423" s="29">
        <f>IF(A423&lt;=Analysis!$B$12,Analysis!$B$11+IF(A423=Analysis!$B$12,Analysis!$B$4,0),0)</f>
        <v>0</v>
      </c>
      <c r="D423" s="29">
        <f>IFERROR(IF(A423&lt;=Analysis!$B$12,1/POWER(1+Analysis!$B$18/Inputs!$B$15,A423),0),0)</f>
        <v>0</v>
      </c>
      <c r="E423" s="29">
        <f t="shared" si="18"/>
        <v>0</v>
      </c>
      <c r="F423" s="30">
        <f t="shared" si="19"/>
        <v>0</v>
      </c>
      <c r="G423" s="28">
        <f t="shared" si="20"/>
        <v>0</v>
      </c>
    </row>
    <row r="424" spans="1:7">
      <c r="A424" s="27">
        <v>419</v>
      </c>
      <c r="B424" s="28">
        <f>IF(A424&lt;=Analysis!$B$12,A424/Inputs!$B$15,0)</f>
        <v>0</v>
      </c>
      <c r="C424" s="29">
        <f>IF(A424&lt;=Analysis!$B$12,Analysis!$B$11+IF(A424=Analysis!$B$12,Analysis!$B$4,0),0)</f>
        <v>0</v>
      </c>
      <c r="D424" s="29">
        <f>IFERROR(IF(A424&lt;=Analysis!$B$12,1/POWER(1+Analysis!$B$18/Inputs!$B$15,A424),0),0)</f>
        <v>0</v>
      </c>
      <c r="E424" s="29">
        <f t="shared" si="18"/>
        <v>0</v>
      </c>
      <c r="F424" s="30">
        <f t="shared" si="19"/>
        <v>0</v>
      </c>
      <c r="G424" s="28">
        <f t="shared" si="20"/>
        <v>0</v>
      </c>
    </row>
    <row r="425" spans="1:7">
      <c r="A425" s="27">
        <v>420</v>
      </c>
      <c r="B425" s="28">
        <f>IF(A425&lt;=Analysis!$B$12,A425/Inputs!$B$15,0)</f>
        <v>0</v>
      </c>
      <c r="C425" s="29">
        <f>IF(A425&lt;=Analysis!$B$12,Analysis!$B$11+IF(A425=Analysis!$B$12,Analysis!$B$4,0),0)</f>
        <v>0</v>
      </c>
      <c r="D425" s="29">
        <f>IFERROR(IF(A425&lt;=Analysis!$B$12,1/POWER(1+Analysis!$B$18/Inputs!$B$15,A425),0),0)</f>
        <v>0</v>
      </c>
      <c r="E425" s="29">
        <f t="shared" si="18"/>
        <v>0</v>
      </c>
      <c r="F425" s="30">
        <f t="shared" si="19"/>
        <v>0</v>
      </c>
      <c r="G425" s="28">
        <f t="shared" si="20"/>
        <v>0</v>
      </c>
    </row>
    <row r="426" spans="1:7">
      <c r="A426" s="27">
        <v>421</v>
      </c>
      <c r="B426" s="28">
        <f>IF(A426&lt;=Analysis!$B$12,A426/Inputs!$B$15,0)</f>
        <v>0</v>
      </c>
      <c r="C426" s="29">
        <f>IF(A426&lt;=Analysis!$B$12,Analysis!$B$11+IF(A426=Analysis!$B$12,Analysis!$B$4,0),0)</f>
        <v>0</v>
      </c>
      <c r="D426" s="29">
        <f>IFERROR(IF(A426&lt;=Analysis!$B$12,1/POWER(1+Analysis!$B$18/Inputs!$B$15,A426),0),0)</f>
        <v>0</v>
      </c>
      <c r="E426" s="29">
        <f t="shared" si="18"/>
        <v>0</v>
      </c>
      <c r="F426" s="30">
        <f t="shared" si="19"/>
        <v>0</v>
      </c>
      <c r="G426" s="28">
        <f t="shared" si="20"/>
        <v>0</v>
      </c>
    </row>
    <row r="427" spans="1:7">
      <c r="A427" s="27">
        <v>422</v>
      </c>
      <c r="B427" s="28">
        <f>IF(A427&lt;=Analysis!$B$12,A427/Inputs!$B$15,0)</f>
        <v>0</v>
      </c>
      <c r="C427" s="29">
        <f>IF(A427&lt;=Analysis!$B$12,Analysis!$B$11+IF(A427=Analysis!$B$12,Analysis!$B$4,0),0)</f>
        <v>0</v>
      </c>
      <c r="D427" s="29">
        <f>IFERROR(IF(A427&lt;=Analysis!$B$12,1/POWER(1+Analysis!$B$18/Inputs!$B$15,A427),0),0)</f>
        <v>0</v>
      </c>
      <c r="E427" s="29">
        <f t="shared" si="18"/>
        <v>0</v>
      </c>
      <c r="F427" s="30">
        <f t="shared" si="19"/>
        <v>0</v>
      </c>
      <c r="G427" s="28">
        <f t="shared" si="20"/>
        <v>0</v>
      </c>
    </row>
    <row r="428" spans="1:7">
      <c r="A428" s="27">
        <v>423</v>
      </c>
      <c r="B428" s="28">
        <f>IF(A428&lt;=Analysis!$B$12,A428/Inputs!$B$15,0)</f>
        <v>0</v>
      </c>
      <c r="C428" s="29">
        <f>IF(A428&lt;=Analysis!$B$12,Analysis!$B$11+IF(A428=Analysis!$B$12,Analysis!$B$4,0),0)</f>
        <v>0</v>
      </c>
      <c r="D428" s="29">
        <f>IFERROR(IF(A428&lt;=Analysis!$B$12,1/POWER(1+Analysis!$B$18/Inputs!$B$15,A428),0),0)</f>
        <v>0</v>
      </c>
      <c r="E428" s="29">
        <f t="shared" si="18"/>
        <v>0</v>
      </c>
      <c r="F428" s="30">
        <f t="shared" si="19"/>
        <v>0</v>
      </c>
      <c r="G428" s="28">
        <f t="shared" si="20"/>
        <v>0</v>
      </c>
    </row>
    <row r="429" spans="1:7">
      <c r="A429" s="27">
        <v>424</v>
      </c>
      <c r="B429" s="28">
        <f>IF(A429&lt;=Analysis!$B$12,A429/Inputs!$B$15,0)</f>
        <v>0</v>
      </c>
      <c r="C429" s="29">
        <f>IF(A429&lt;=Analysis!$B$12,Analysis!$B$11+IF(A429=Analysis!$B$12,Analysis!$B$4,0),0)</f>
        <v>0</v>
      </c>
      <c r="D429" s="29">
        <f>IFERROR(IF(A429&lt;=Analysis!$B$12,1/POWER(1+Analysis!$B$18/Inputs!$B$15,A429),0),0)</f>
        <v>0</v>
      </c>
      <c r="E429" s="29">
        <f t="shared" si="18"/>
        <v>0</v>
      </c>
      <c r="F429" s="30">
        <f t="shared" si="19"/>
        <v>0</v>
      </c>
      <c r="G429" s="28">
        <f t="shared" si="20"/>
        <v>0</v>
      </c>
    </row>
    <row r="430" spans="1:7">
      <c r="A430" s="27">
        <v>425</v>
      </c>
      <c r="B430" s="28">
        <f>IF(A430&lt;=Analysis!$B$12,A430/Inputs!$B$15,0)</f>
        <v>0</v>
      </c>
      <c r="C430" s="29">
        <f>IF(A430&lt;=Analysis!$B$12,Analysis!$B$11+IF(A430=Analysis!$B$12,Analysis!$B$4,0),0)</f>
        <v>0</v>
      </c>
      <c r="D430" s="29">
        <f>IFERROR(IF(A430&lt;=Analysis!$B$12,1/POWER(1+Analysis!$B$18/Inputs!$B$15,A430),0),0)</f>
        <v>0</v>
      </c>
      <c r="E430" s="29">
        <f t="shared" si="18"/>
        <v>0</v>
      </c>
      <c r="F430" s="30">
        <f t="shared" si="19"/>
        <v>0</v>
      </c>
      <c r="G430" s="28">
        <f t="shared" si="20"/>
        <v>0</v>
      </c>
    </row>
    <row r="431" spans="1:7">
      <c r="A431" s="27">
        <v>426</v>
      </c>
      <c r="B431" s="28">
        <f>IF(A431&lt;=Analysis!$B$12,A431/Inputs!$B$15,0)</f>
        <v>0</v>
      </c>
      <c r="C431" s="29">
        <f>IF(A431&lt;=Analysis!$B$12,Analysis!$B$11+IF(A431=Analysis!$B$12,Analysis!$B$4,0),0)</f>
        <v>0</v>
      </c>
      <c r="D431" s="29">
        <f>IFERROR(IF(A431&lt;=Analysis!$B$12,1/POWER(1+Analysis!$B$18/Inputs!$B$15,A431),0),0)</f>
        <v>0</v>
      </c>
      <c r="E431" s="29">
        <f t="shared" si="18"/>
        <v>0</v>
      </c>
      <c r="F431" s="30">
        <f t="shared" si="19"/>
        <v>0</v>
      </c>
      <c r="G431" s="28">
        <f t="shared" si="20"/>
        <v>0</v>
      </c>
    </row>
    <row r="432" spans="1:7">
      <c r="A432" s="27">
        <v>427</v>
      </c>
      <c r="B432" s="28">
        <f>IF(A432&lt;=Analysis!$B$12,A432/Inputs!$B$15,0)</f>
        <v>0</v>
      </c>
      <c r="C432" s="29">
        <f>IF(A432&lt;=Analysis!$B$12,Analysis!$B$11+IF(A432=Analysis!$B$12,Analysis!$B$4,0),0)</f>
        <v>0</v>
      </c>
      <c r="D432" s="29">
        <f>IFERROR(IF(A432&lt;=Analysis!$B$12,1/POWER(1+Analysis!$B$18/Inputs!$B$15,A432),0),0)</f>
        <v>0</v>
      </c>
      <c r="E432" s="29">
        <f t="shared" si="18"/>
        <v>0</v>
      </c>
      <c r="F432" s="30">
        <f t="shared" si="19"/>
        <v>0</v>
      </c>
      <c r="G432" s="28">
        <f t="shared" si="20"/>
        <v>0</v>
      </c>
    </row>
    <row r="433" spans="1:7">
      <c r="A433" s="27">
        <v>428</v>
      </c>
      <c r="B433" s="28">
        <f>IF(A433&lt;=Analysis!$B$12,A433/Inputs!$B$15,0)</f>
        <v>0</v>
      </c>
      <c r="C433" s="29">
        <f>IF(A433&lt;=Analysis!$B$12,Analysis!$B$11+IF(A433=Analysis!$B$12,Analysis!$B$4,0),0)</f>
        <v>0</v>
      </c>
      <c r="D433" s="29">
        <f>IFERROR(IF(A433&lt;=Analysis!$B$12,1/POWER(1+Analysis!$B$18/Inputs!$B$15,A433),0),0)</f>
        <v>0</v>
      </c>
      <c r="E433" s="29">
        <f t="shared" si="18"/>
        <v>0</v>
      </c>
      <c r="F433" s="30">
        <f t="shared" si="19"/>
        <v>0</v>
      </c>
      <c r="G433" s="28">
        <f t="shared" si="20"/>
        <v>0</v>
      </c>
    </row>
    <row r="434" spans="1:7">
      <c r="A434" s="27">
        <v>429</v>
      </c>
      <c r="B434" s="28">
        <f>IF(A434&lt;=Analysis!$B$12,A434/Inputs!$B$15,0)</f>
        <v>0</v>
      </c>
      <c r="C434" s="29">
        <f>IF(A434&lt;=Analysis!$B$12,Analysis!$B$11+IF(A434=Analysis!$B$12,Analysis!$B$4,0),0)</f>
        <v>0</v>
      </c>
      <c r="D434" s="29">
        <f>IFERROR(IF(A434&lt;=Analysis!$B$12,1/POWER(1+Analysis!$B$18/Inputs!$B$15,A434),0),0)</f>
        <v>0</v>
      </c>
      <c r="E434" s="29">
        <f t="shared" si="18"/>
        <v>0</v>
      </c>
      <c r="F434" s="30">
        <f t="shared" si="19"/>
        <v>0</v>
      </c>
      <c r="G434" s="28">
        <f t="shared" si="20"/>
        <v>0</v>
      </c>
    </row>
    <row r="435" spans="1:7">
      <c r="A435" s="27">
        <v>430</v>
      </c>
      <c r="B435" s="28">
        <f>IF(A435&lt;=Analysis!$B$12,A435/Inputs!$B$15,0)</f>
        <v>0</v>
      </c>
      <c r="C435" s="29">
        <f>IF(A435&lt;=Analysis!$B$12,Analysis!$B$11+IF(A435=Analysis!$B$12,Analysis!$B$4,0),0)</f>
        <v>0</v>
      </c>
      <c r="D435" s="29">
        <f>IFERROR(IF(A435&lt;=Analysis!$B$12,1/POWER(1+Analysis!$B$18/Inputs!$B$15,A435),0),0)</f>
        <v>0</v>
      </c>
      <c r="E435" s="29">
        <f t="shared" si="18"/>
        <v>0</v>
      </c>
      <c r="F435" s="30">
        <f t="shared" si="19"/>
        <v>0</v>
      </c>
      <c r="G435" s="28">
        <f t="shared" si="20"/>
        <v>0</v>
      </c>
    </row>
    <row r="436" spans="1:7">
      <c r="A436" s="27">
        <v>431</v>
      </c>
      <c r="B436" s="28">
        <f>IF(A436&lt;=Analysis!$B$12,A436/Inputs!$B$15,0)</f>
        <v>0</v>
      </c>
      <c r="C436" s="29">
        <f>IF(A436&lt;=Analysis!$B$12,Analysis!$B$11+IF(A436=Analysis!$B$12,Analysis!$B$4,0),0)</f>
        <v>0</v>
      </c>
      <c r="D436" s="29">
        <f>IFERROR(IF(A436&lt;=Analysis!$B$12,1/POWER(1+Analysis!$B$18/Inputs!$B$15,A436),0),0)</f>
        <v>0</v>
      </c>
      <c r="E436" s="29">
        <f t="shared" si="18"/>
        <v>0</v>
      </c>
      <c r="F436" s="30">
        <f t="shared" si="19"/>
        <v>0</v>
      </c>
      <c r="G436" s="28">
        <f t="shared" si="20"/>
        <v>0</v>
      </c>
    </row>
    <row r="437" spans="1:7">
      <c r="A437" s="27">
        <v>432</v>
      </c>
      <c r="B437" s="28">
        <f>IF(A437&lt;=Analysis!$B$12,A437/Inputs!$B$15,0)</f>
        <v>0</v>
      </c>
      <c r="C437" s="29">
        <f>IF(A437&lt;=Analysis!$B$12,Analysis!$B$11+IF(A437=Analysis!$B$12,Analysis!$B$4,0),0)</f>
        <v>0</v>
      </c>
      <c r="D437" s="29">
        <f>IFERROR(IF(A437&lt;=Analysis!$B$12,1/POWER(1+Analysis!$B$18/Inputs!$B$15,A437),0),0)</f>
        <v>0</v>
      </c>
      <c r="E437" s="29">
        <f t="shared" si="18"/>
        <v>0</v>
      </c>
      <c r="F437" s="30">
        <f t="shared" si="19"/>
        <v>0</v>
      </c>
      <c r="G437" s="28">
        <f t="shared" si="20"/>
        <v>0</v>
      </c>
    </row>
    <row r="438" spans="1:7">
      <c r="A438" s="27">
        <v>433</v>
      </c>
      <c r="B438" s="28">
        <f>IF(A438&lt;=Analysis!$B$12,A438/Inputs!$B$15,0)</f>
        <v>0</v>
      </c>
      <c r="C438" s="29">
        <f>IF(A438&lt;=Analysis!$B$12,Analysis!$B$11+IF(A438=Analysis!$B$12,Analysis!$B$4,0),0)</f>
        <v>0</v>
      </c>
      <c r="D438" s="29">
        <f>IFERROR(IF(A438&lt;=Analysis!$B$12,1/POWER(1+Analysis!$B$18/Inputs!$B$15,A438),0),0)</f>
        <v>0</v>
      </c>
      <c r="E438" s="29">
        <f t="shared" si="18"/>
        <v>0</v>
      </c>
      <c r="F438" s="30">
        <f t="shared" si="19"/>
        <v>0</v>
      </c>
      <c r="G438" s="28">
        <f t="shared" si="20"/>
        <v>0</v>
      </c>
    </row>
    <row r="439" spans="1:7">
      <c r="A439" s="27">
        <v>434</v>
      </c>
      <c r="B439" s="28">
        <f>IF(A439&lt;=Analysis!$B$12,A439/Inputs!$B$15,0)</f>
        <v>0</v>
      </c>
      <c r="C439" s="29">
        <f>IF(A439&lt;=Analysis!$B$12,Analysis!$B$11+IF(A439=Analysis!$B$12,Analysis!$B$4,0),0)</f>
        <v>0</v>
      </c>
      <c r="D439" s="29">
        <f>IFERROR(IF(A439&lt;=Analysis!$B$12,1/POWER(1+Analysis!$B$18/Inputs!$B$15,A439),0),0)</f>
        <v>0</v>
      </c>
      <c r="E439" s="29">
        <f t="shared" si="18"/>
        <v>0</v>
      </c>
      <c r="F439" s="30">
        <f t="shared" si="19"/>
        <v>0</v>
      </c>
      <c r="G439" s="28">
        <f t="shared" si="20"/>
        <v>0</v>
      </c>
    </row>
    <row r="440" spans="1:7">
      <c r="A440" s="27">
        <v>435</v>
      </c>
      <c r="B440" s="28">
        <f>IF(A440&lt;=Analysis!$B$12,A440/Inputs!$B$15,0)</f>
        <v>0</v>
      </c>
      <c r="C440" s="29">
        <f>IF(A440&lt;=Analysis!$B$12,Analysis!$B$11+IF(A440=Analysis!$B$12,Analysis!$B$4,0),0)</f>
        <v>0</v>
      </c>
      <c r="D440" s="29">
        <f>IFERROR(IF(A440&lt;=Analysis!$B$12,1/POWER(1+Analysis!$B$18/Inputs!$B$15,A440),0),0)</f>
        <v>0</v>
      </c>
      <c r="E440" s="29">
        <f t="shared" si="18"/>
        <v>0</v>
      </c>
      <c r="F440" s="30">
        <f t="shared" si="19"/>
        <v>0</v>
      </c>
      <c r="G440" s="28">
        <f t="shared" si="20"/>
        <v>0</v>
      </c>
    </row>
    <row r="441" spans="1:7">
      <c r="A441" s="27">
        <v>436</v>
      </c>
      <c r="B441" s="28">
        <f>IF(A441&lt;=Analysis!$B$12,A441/Inputs!$B$15,0)</f>
        <v>0</v>
      </c>
      <c r="C441" s="29">
        <f>IF(A441&lt;=Analysis!$B$12,Analysis!$B$11+IF(A441=Analysis!$B$12,Analysis!$B$4,0),0)</f>
        <v>0</v>
      </c>
      <c r="D441" s="29">
        <f>IFERROR(IF(A441&lt;=Analysis!$B$12,1/POWER(1+Analysis!$B$18/Inputs!$B$15,A441),0),0)</f>
        <v>0</v>
      </c>
      <c r="E441" s="29">
        <f t="shared" si="18"/>
        <v>0</v>
      </c>
      <c r="F441" s="30">
        <f t="shared" si="19"/>
        <v>0</v>
      </c>
      <c r="G441" s="28">
        <f t="shared" si="20"/>
        <v>0</v>
      </c>
    </row>
    <row r="442" spans="1:7">
      <c r="A442" s="27">
        <v>437</v>
      </c>
      <c r="B442" s="28">
        <f>IF(A442&lt;=Analysis!$B$12,A442/Inputs!$B$15,0)</f>
        <v>0</v>
      </c>
      <c r="C442" s="29">
        <f>IF(A442&lt;=Analysis!$B$12,Analysis!$B$11+IF(A442=Analysis!$B$12,Analysis!$B$4,0),0)</f>
        <v>0</v>
      </c>
      <c r="D442" s="29">
        <f>IFERROR(IF(A442&lt;=Analysis!$B$12,1/POWER(1+Analysis!$B$18/Inputs!$B$15,A442),0),0)</f>
        <v>0</v>
      </c>
      <c r="E442" s="29">
        <f t="shared" si="18"/>
        <v>0</v>
      </c>
      <c r="F442" s="30">
        <f t="shared" si="19"/>
        <v>0</v>
      </c>
      <c r="G442" s="28">
        <f t="shared" si="20"/>
        <v>0</v>
      </c>
    </row>
    <row r="443" spans="1:7">
      <c r="A443" s="27">
        <v>438</v>
      </c>
      <c r="B443" s="28">
        <f>IF(A443&lt;=Analysis!$B$12,A443/Inputs!$B$15,0)</f>
        <v>0</v>
      </c>
      <c r="C443" s="29">
        <f>IF(A443&lt;=Analysis!$B$12,Analysis!$B$11+IF(A443=Analysis!$B$12,Analysis!$B$4,0),0)</f>
        <v>0</v>
      </c>
      <c r="D443" s="29">
        <f>IFERROR(IF(A443&lt;=Analysis!$B$12,1/POWER(1+Analysis!$B$18/Inputs!$B$15,A443),0),0)</f>
        <v>0</v>
      </c>
      <c r="E443" s="29">
        <f t="shared" si="18"/>
        <v>0</v>
      </c>
      <c r="F443" s="30">
        <f t="shared" si="19"/>
        <v>0</v>
      </c>
      <c r="G443" s="28">
        <f t="shared" si="20"/>
        <v>0</v>
      </c>
    </row>
    <row r="444" spans="1:7">
      <c r="A444" s="27">
        <v>439</v>
      </c>
      <c r="B444" s="28">
        <f>IF(A444&lt;=Analysis!$B$12,A444/Inputs!$B$15,0)</f>
        <v>0</v>
      </c>
      <c r="C444" s="29">
        <f>IF(A444&lt;=Analysis!$B$12,Analysis!$B$11+IF(A444=Analysis!$B$12,Analysis!$B$4,0),0)</f>
        <v>0</v>
      </c>
      <c r="D444" s="29">
        <f>IFERROR(IF(A444&lt;=Analysis!$B$12,1/POWER(1+Analysis!$B$18/Inputs!$B$15,A444),0),0)</f>
        <v>0</v>
      </c>
      <c r="E444" s="29">
        <f t="shared" si="18"/>
        <v>0</v>
      </c>
      <c r="F444" s="30">
        <f t="shared" si="19"/>
        <v>0</v>
      </c>
      <c r="G444" s="28">
        <f t="shared" si="20"/>
        <v>0</v>
      </c>
    </row>
    <row r="445" spans="1:7">
      <c r="A445" s="27">
        <v>440</v>
      </c>
      <c r="B445" s="28">
        <f>IF(A445&lt;=Analysis!$B$12,A445/Inputs!$B$15,0)</f>
        <v>0</v>
      </c>
      <c r="C445" s="29">
        <f>IF(A445&lt;=Analysis!$B$12,Analysis!$B$11+IF(A445=Analysis!$B$12,Analysis!$B$4,0),0)</f>
        <v>0</v>
      </c>
      <c r="D445" s="29">
        <f>IFERROR(IF(A445&lt;=Analysis!$B$12,1/POWER(1+Analysis!$B$18/Inputs!$B$15,A445),0),0)</f>
        <v>0</v>
      </c>
      <c r="E445" s="29">
        <f t="shared" si="18"/>
        <v>0</v>
      </c>
      <c r="F445" s="30">
        <f t="shared" si="19"/>
        <v>0</v>
      </c>
      <c r="G445" s="28">
        <f t="shared" si="20"/>
        <v>0</v>
      </c>
    </row>
    <row r="446" spans="1:7">
      <c r="A446" s="27">
        <v>441</v>
      </c>
      <c r="B446" s="28">
        <f>IF(A446&lt;=Analysis!$B$12,A446/Inputs!$B$15,0)</f>
        <v>0</v>
      </c>
      <c r="C446" s="29">
        <f>IF(A446&lt;=Analysis!$B$12,Analysis!$B$11+IF(A446=Analysis!$B$12,Analysis!$B$4,0),0)</f>
        <v>0</v>
      </c>
      <c r="D446" s="29">
        <f>IFERROR(IF(A446&lt;=Analysis!$B$12,1/POWER(1+Analysis!$B$18/Inputs!$B$15,A446),0),0)</f>
        <v>0</v>
      </c>
      <c r="E446" s="29">
        <f t="shared" si="18"/>
        <v>0</v>
      </c>
      <c r="F446" s="30">
        <f t="shared" si="19"/>
        <v>0</v>
      </c>
      <c r="G446" s="28">
        <f t="shared" si="20"/>
        <v>0</v>
      </c>
    </row>
    <row r="447" spans="1:7">
      <c r="A447" s="27">
        <v>442</v>
      </c>
      <c r="B447" s="28">
        <f>IF(A447&lt;=Analysis!$B$12,A447/Inputs!$B$15,0)</f>
        <v>0</v>
      </c>
      <c r="C447" s="29">
        <f>IF(A447&lt;=Analysis!$B$12,Analysis!$B$11+IF(A447=Analysis!$B$12,Analysis!$B$4,0),0)</f>
        <v>0</v>
      </c>
      <c r="D447" s="29">
        <f>IFERROR(IF(A447&lt;=Analysis!$B$12,1/POWER(1+Analysis!$B$18/Inputs!$B$15,A447),0),0)</f>
        <v>0</v>
      </c>
      <c r="E447" s="29">
        <f t="shared" si="18"/>
        <v>0</v>
      </c>
      <c r="F447" s="30">
        <f t="shared" si="19"/>
        <v>0</v>
      </c>
      <c r="G447" s="28">
        <f t="shared" si="20"/>
        <v>0</v>
      </c>
    </row>
    <row r="448" spans="1:7">
      <c r="A448" s="27">
        <v>443</v>
      </c>
      <c r="B448" s="28">
        <f>IF(A448&lt;=Analysis!$B$12,A448/Inputs!$B$15,0)</f>
        <v>0</v>
      </c>
      <c r="C448" s="29">
        <f>IF(A448&lt;=Analysis!$B$12,Analysis!$B$11+IF(A448=Analysis!$B$12,Analysis!$B$4,0),0)</f>
        <v>0</v>
      </c>
      <c r="D448" s="29">
        <f>IFERROR(IF(A448&lt;=Analysis!$B$12,1/POWER(1+Analysis!$B$18/Inputs!$B$15,A448),0),0)</f>
        <v>0</v>
      </c>
      <c r="E448" s="29">
        <f t="shared" si="18"/>
        <v>0</v>
      </c>
      <c r="F448" s="30">
        <f t="shared" si="19"/>
        <v>0</v>
      </c>
      <c r="G448" s="28">
        <f t="shared" si="20"/>
        <v>0</v>
      </c>
    </row>
    <row r="449" spans="1:7">
      <c r="A449" s="27">
        <v>444</v>
      </c>
      <c r="B449" s="28">
        <f>IF(A449&lt;=Analysis!$B$12,A449/Inputs!$B$15,0)</f>
        <v>0</v>
      </c>
      <c r="C449" s="29">
        <f>IF(A449&lt;=Analysis!$B$12,Analysis!$B$11+IF(A449=Analysis!$B$12,Analysis!$B$4,0),0)</f>
        <v>0</v>
      </c>
      <c r="D449" s="29">
        <f>IFERROR(IF(A449&lt;=Analysis!$B$12,1/POWER(1+Analysis!$B$18/Inputs!$B$15,A449),0),0)</f>
        <v>0</v>
      </c>
      <c r="E449" s="29">
        <f t="shared" si="18"/>
        <v>0</v>
      </c>
      <c r="F449" s="30">
        <f t="shared" si="19"/>
        <v>0</v>
      </c>
      <c r="G449" s="28">
        <f t="shared" si="20"/>
        <v>0</v>
      </c>
    </row>
    <row r="450" spans="1:7">
      <c r="A450" s="27">
        <v>445</v>
      </c>
      <c r="B450" s="28">
        <f>IF(A450&lt;=Analysis!$B$12,A450/Inputs!$B$15,0)</f>
        <v>0</v>
      </c>
      <c r="C450" s="29">
        <f>IF(A450&lt;=Analysis!$B$12,Analysis!$B$11+IF(A450=Analysis!$B$12,Analysis!$B$4,0),0)</f>
        <v>0</v>
      </c>
      <c r="D450" s="29">
        <f>IFERROR(IF(A450&lt;=Analysis!$B$12,1/POWER(1+Analysis!$B$18/Inputs!$B$15,A450),0),0)</f>
        <v>0</v>
      </c>
      <c r="E450" s="29">
        <f t="shared" si="18"/>
        <v>0</v>
      </c>
      <c r="F450" s="30">
        <f t="shared" si="19"/>
        <v>0</v>
      </c>
      <c r="G450" s="28">
        <f t="shared" si="20"/>
        <v>0</v>
      </c>
    </row>
    <row r="451" spans="1:7">
      <c r="A451" s="27">
        <v>446</v>
      </c>
      <c r="B451" s="28">
        <f>IF(A451&lt;=Analysis!$B$12,A451/Inputs!$B$15,0)</f>
        <v>0</v>
      </c>
      <c r="C451" s="29">
        <f>IF(A451&lt;=Analysis!$B$12,Analysis!$B$11+IF(A451=Analysis!$B$12,Analysis!$B$4,0),0)</f>
        <v>0</v>
      </c>
      <c r="D451" s="29">
        <f>IFERROR(IF(A451&lt;=Analysis!$B$12,1/POWER(1+Analysis!$B$18/Inputs!$B$15,A451),0),0)</f>
        <v>0</v>
      </c>
      <c r="E451" s="29">
        <f t="shared" si="18"/>
        <v>0</v>
      </c>
      <c r="F451" s="30">
        <f t="shared" si="19"/>
        <v>0</v>
      </c>
      <c r="G451" s="28">
        <f t="shared" si="20"/>
        <v>0</v>
      </c>
    </row>
    <row r="452" spans="1:7">
      <c r="A452" s="27">
        <v>447</v>
      </c>
      <c r="B452" s="28">
        <f>IF(A452&lt;=Analysis!$B$12,A452/Inputs!$B$15,0)</f>
        <v>0</v>
      </c>
      <c r="C452" s="29">
        <f>IF(A452&lt;=Analysis!$B$12,Analysis!$B$11+IF(A452=Analysis!$B$12,Analysis!$B$4,0),0)</f>
        <v>0</v>
      </c>
      <c r="D452" s="29">
        <f>IFERROR(IF(A452&lt;=Analysis!$B$12,1/POWER(1+Analysis!$B$18/Inputs!$B$15,A452),0),0)</f>
        <v>0</v>
      </c>
      <c r="E452" s="29">
        <f t="shared" si="18"/>
        <v>0</v>
      </c>
      <c r="F452" s="30">
        <f t="shared" si="19"/>
        <v>0</v>
      </c>
      <c r="G452" s="28">
        <f t="shared" si="20"/>
        <v>0</v>
      </c>
    </row>
    <row r="453" spans="1:7">
      <c r="A453" s="27">
        <v>448</v>
      </c>
      <c r="B453" s="28">
        <f>IF(A453&lt;=Analysis!$B$12,A453/Inputs!$B$15,0)</f>
        <v>0</v>
      </c>
      <c r="C453" s="29">
        <f>IF(A453&lt;=Analysis!$B$12,Analysis!$B$11+IF(A453=Analysis!$B$12,Analysis!$B$4,0),0)</f>
        <v>0</v>
      </c>
      <c r="D453" s="29">
        <f>IFERROR(IF(A453&lt;=Analysis!$B$12,1/POWER(1+Analysis!$B$18/Inputs!$B$15,A453),0),0)</f>
        <v>0</v>
      </c>
      <c r="E453" s="29">
        <f t="shared" si="18"/>
        <v>0</v>
      </c>
      <c r="F453" s="30">
        <f t="shared" si="19"/>
        <v>0</v>
      </c>
      <c r="G453" s="28">
        <f t="shared" si="20"/>
        <v>0</v>
      </c>
    </row>
    <row r="454" spans="1:7">
      <c r="A454" s="27">
        <v>449</v>
      </c>
      <c r="B454" s="28">
        <f>IF(A454&lt;=Analysis!$B$12,A454/Inputs!$B$15,0)</f>
        <v>0</v>
      </c>
      <c r="C454" s="29">
        <f>IF(A454&lt;=Analysis!$B$12,Analysis!$B$11+IF(A454=Analysis!$B$12,Analysis!$B$4,0),0)</f>
        <v>0</v>
      </c>
      <c r="D454" s="29">
        <f>IFERROR(IF(A454&lt;=Analysis!$B$12,1/POWER(1+Analysis!$B$18/Inputs!$B$15,A454),0),0)</f>
        <v>0</v>
      </c>
      <c r="E454" s="29">
        <f t="shared" ref="E454:E517" si="21">C454*D454</f>
        <v>0</v>
      </c>
      <c r="F454" s="30">
        <f t="shared" ref="F454:F517" si="22">IFERROR(E454/SUM($E$6:$E$605),0)</f>
        <v>0</v>
      </c>
      <c r="G454" s="28">
        <f t="shared" ref="G454:G517" si="23">B454*F454</f>
        <v>0</v>
      </c>
    </row>
    <row r="455" spans="1:7">
      <c r="A455" s="27">
        <v>450</v>
      </c>
      <c r="B455" s="28">
        <f>IF(A455&lt;=Analysis!$B$12,A455/Inputs!$B$15,0)</f>
        <v>0</v>
      </c>
      <c r="C455" s="29">
        <f>IF(A455&lt;=Analysis!$B$12,Analysis!$B$11+IF(A455=Analysis!$B$12,Analysis!$B$4,0),0)</f>
        <v>0</v>
      </c>
      <c r="D455" s="29">
        <f>IFERROR(IF(A455&lt;=Analysis!$B$12,1/POWER(1+Analysis!$B$18/Inputs!$B$15,A455),0),0)</f>
        <v>0</v>
      </c>
      <c r="E455" s="29">
        <f t="shared" si="21"/>
        <v>0</v>
      </c>
      <c r="F455" s="30">
        <f t="shared" si="22"/>
        <v>0</v>
      </c>
      <c r="G455" s="28">
        <f t="shared" si="23"/>
        <v>0</v>
      </c>
    </row>
    <row r="456" spans="1:7">
      <c r="A456" s="27">
        <v>451</v>
      </c>
      <c r="B456" s="28">
        <f>IF(A456&lt;=Analysis!$B$12,A456/Inputs!$B$15,0)</f>
        <v>0</v>
      </c>
      <c r="C456" s="29">
        <f>IF(A456&lt;=Analysis!$B$12,Analysis!$B$11+IF(A456=Analysis!$B$12,Analysis!$B$4,0),0)</f>
        <v>0</v>
      </c>
      <c r="D456" s="29">
        <f>IFERROR(IF(A456&lt;=Analysis!$B$12,1/POWER(1+Analysis!$B$18/Inputs!$B$15,A456),0),0)</f>
        <v>0</v>
      </c>
      <c r="E456" s="29">
        <f t="shared" si="21"/>
        <v>0</v>
      </c>
      <c r="F456" s="30">
        <f t="shared" si="22"/>
        <v>0</v>
      </c>
      <c r="G456" s="28">
        <f t="shared" si="23"/>
        <v>0</v>
      </c>
    </row>
    <row r="457" spans="1:7">
      <c r="A457" s="27">
        <v>452</v>
      </c>
      <c r="B457" s="28">
        <f>IF(A457&lt;=Analysis!$B$12,A457/Inputs!$B$15,0)</f>
        <v>0</v>
      </c>
      <c r="C457" s="29">
        <f>IF(A457&lt;=Analysis!$B$12,Analysis!$B$11+IF(A457=Analysis!$B$12,Analysis!$B$4,0),0)</f>
        <v>0</v>
      </c>
      <c r="D457" s="29">
        <f>IFERROR(IF(A457&lt;=Analysis!$B$12,1/POWER(1+Analysis!$B$18/Inputs!$B$15,A457),0),0)</f>
        <v>0</v>
      </c>
      <c r="E457" s="29">
        <f t="shared" si="21"/>
        <v>0</v>
      </c>
      <c r="F457" s="30">
        <f t="shared" si="22"/>
        <v>0</v>
      </c>
      <c r="G457" s="28">
        <f t="shared" si="23"/>
        <v>0</v>
      </c>
    </row>
    <row r="458" spans="1:7">
      <c r="A458" s="27">
        <v>453</v>
      </c>
      <c r="B458" s="28">
        <f>IF(A458&lt;=Analysis!$B$12,A458/Inputs!$B$15,0)</f>
        <v>0</v>
      </c>
      <c r="C458" s="29">
        <f>IF(A458&lt;=Analysis!$B$12,Analysis!$B$11+IF(A458=Analysis!$B$12,Analysis!$B$4,0),0)</f>
        <v>0</v>
      </c>
      <c r="D458" s="29">
        <f>IFERROR(IF(A458&lt;=Analysis!$B$12,1/POWER(1+Analysis!$B$18/Inputs!$B$15,A458),0),0)</f>
        <v>0</v>
      </c>
      <c r="E458" s="29">
        <f t="shared" si="21"/>
        <v>0</v>
      </c>
      <c r="F458" s="30">
        <f t="shared" si="22"/>
        <v>0</v>
      </c>
      <c r="G458" s="28">
        <f t="shared" si="23"/>
        <v>0</v>
      </c>
    </row>
    <row r="459" spans="1:7">
      <c r="A459" s="27">
        <v>454</v>
      </c>
      <c r="B459" s="28">
        <f>IF(A459&lt;=Analysis!$B$12,A459/Inputs!$B$15,0)</f>
        <v>0</v>
      </c>
      <c r="C459" s="29">
        <f>IF(A459&lt;=Analysis!$B$12,Analysis!$B$11+IF(A459=Analysis!$B$12,Analysis!$B$4,0),0)</f>
        <v>0</v>
      </c>
      <c r="D459" s="29">
        <f>IFERROR(IF(A459&lt;=Analysis!$B$12,1/POWER(1+Analysis!$B$18/Inputs!$B$15,A459),0),0)</f>
        <v>0</v>
      </c>
      <c r="E459" s="29">
        <f t="shared" si="21"/>
        <v>0</v>
      </c>
      <c r="F459" s="30">
        <f t="shared" si="22"/>
        <v>0</v>
      </c>
      <c r="G459" s="28">
        <f t="shared" si="23"/>
        <v>0</v>
      </c>
    </row>
    <row r="460" spans="1:7">
      <c r="A460" s="27">
        <v>455</v>
      </c>
      <c r="B460" s="28">
        <f>IF(A460&lt;=Analysis!$B$12,A460/Inputs!$B$15,0)</f>
        <v>0</v>
      </c>
      <c r="C460" s="29">
        <f>IF(A460&lt;=Analysis!$B$12,Analysis!$B$11+IF(A460=Analysis!$B$12,Analysis!$B$4,0),0)</f>
        <v>0</v>
      </c>
      <c r="D460" s="29">
        <f>IFERROR(IF(A460&lt;=Analysis!$B$12,1/POWER(1+Analysis!$B$18/Inputs!$B$15,A460),0),0)</f>
        <v>0</v>
      </c>
      <c r="E460" s="29">
        <f t="shared" si="21"/>
        <v>0</v>
      </c>
      <c r="F460" s="30">
        <f t="shared" si="22"/>
        <v>0</v>
      </c>
      <c r="G460" s="28">
        <f t="shared" si="23"/>
        <v>0</v>
      </c>
    </row>
    <row r="461" spans="1:7">
      <c r="A461" s="27">
        <v>456</v>
      </c>
      <c r="B461" s="28">
        <f>IF(A461&lt;=Analysis!$B$12,A461/Inputs!$B$15,0)</f>
        <v>0</v>
      </c>
      <c r="C461" s="29">
        <f>IF(A461&lt;=Analysis!$B$12,Analysis!$B$11+IF(A461=Analysis!$B$12,Analysis!$B$4,0),0)</f>
        <v>0</v>
      </c>
      <c r="D461" s="29">
        <f>IFERROR(IF(A461&lt;=Analysis!$B$12,1/POWER(1+Analysis!$B$18/Inputs!$B$15,A461),0),0)</f>
        <v>0</v>
      </c>
      <c r="E461" s="29">
        <f t="shared" si="21"/>
        <v>0</v>
      </c>
      <c r="F461" s="30">
        <f t="shared" si="22"/>
        <v>0</v>
      </c>
      <c r="G461" s="28">
        <f t="shared" si="23"/>
        <v>0</v>
      </c>
    </row>
    <row r="462" spans="1:7">
      <c r="A462" s="27">
        <v>457</v>
      </c>
      <c r="B462" s="28">
        <f>IF(A462&lt;=Analysis!$B$12,A462/Inputs!$B$15,0)</f>
        <v>0</v>
      </c>
      <c r="C462" s="29">
        <f>IF(A462&lt;=Analysis!$B$12,Analysis!$B$11+IF(A462=Analysis!$B$12,Analysis!$B$4,0),0)</f>
        <v>0</v>
      </c>
      <c r="D462" s="29">
        <f>IFERROR(IF(A462&lt;=Analysis!$B$12,1/POWER(1+Analysis!$B$18/Inputs!$B$15,A462),0),0)</f>
        <v>0</v>
      </c>
      <c r="E462" s="29">
        <f t="shared" si="21"/>
        <v>0</v>
      </c>
      <c r="F462" s="30">
        <f t="shared" si="22"/>
        <v>0</v>
      </c>
      <c r="G462" s="28">
        <f t="shared" si="23"/>
        <v>0</v>
      </c>
    </row>
    <row r="463" spans="1:7">
      <c r="A463" s="27">
        <v>458</v>
      </c>
      <c r="B463" s="28">
        <f>IF(A463&lt;=Analysis!$B$12,A463/Inputs!$B$15,0)</f>
        <v>0</v>
      </c>
      <c r="C463" s="29">
        <f>IF(A463&lt;=Analysis!$B$12,Analysis!$B$11+IF(A463=Analysis!$B$12,Analysis!$B$4,0),0)</f>
        <v>0</v>
      </c>
      <c r="D463" s="29">
        <f>IFERROR(IF(A463&lt;=Analysis!$B$12,1/POWER(1+Analysis!$B$18/Inputs!$B$15,A463),0),0)</f>
        <v>0</v>
      </c>
      <c r="E463" s="29">
        <f t="shared" si="21"/>
        <v>0</v>
      </c>
      <c r="F463" s="30">
        <f t="shared" si="22"/>
        <v>0</v>
      </c>
      <c r="G463" s="28">
        <f t="shared" si="23"/>
        <v>0</v>
      </c>
    </row>
    <row r="464" spans="1:7">
      <c r="A464" s="27">
        <v>459</v>
      </c>
      <c r="B464" s="28">
        <f>IF(A464&lt;=Analysis!$B$12,A464/Inputs!$B$15,0)</f>
        <v>0</v>
      </c>
      <c r="C464" s="29">
        <f>IF(A464&lt;=Analysis!$B$12,Analysis!$B$11+IF(A464=Analysis!$B$12,Analysis!$B$4,0),0)</f>
        <v>0</v>
      </c>
      <c r="D464" s="29">
        <f>IFERROR(IF(A464&lt;=Analysis!$B$12,1/POWER(1+Analysis!$B$18/Inputs!$B$15,A464),0),0)</f>
        <v>0</v>
      </c>
      <c r="E464" s="29">
        <f t="shared" si="21"/>
        <v>0</v>
      </c>
      <c r="F464" s="30">
        <f t="shared" si="22"/>
        <v>0</v>
      </c>
      <c r="G464" s="28">
        <f t="shared" si="23"/>
        <v>0</v>
      </c>
    </row>
    <row r="465" spans="1:7">
      <c r="A465" s="27">
        <v>460</v>
      </c>
      <c r="B465" s="28">
        <f>IF(A465&lt;=Analysis!$B$12,A465/Inputs!$B$15,0)</f>
        <v>0</v>
      </c>
      <c r="C465" s="29">
        <f>IF(A465&lt;=Analysis!$B$12,Analysis!$B$11+IF(A465=Analysis!$B$12,Analysis!$B$4,0),0)</f>
        <v>0</v>
      </c>
      <c r="D465" s="29">
        <f>IFERROR(IF(A465&lt;=Analysis!$B$12,1/POWER(1+Analysis!$B$18/Inputs!$B$15,A465),0),0)</f>
        <v>0</v>
      </c>
      <c r="E465" s="29">
        <f t="shared" si="21"/>
        <v>0</v>
      </c>
      <c r="F465" s="30">
        <f t="shared" si="22"/>
        <v>0</v>
      </c>
      <c r="G465" s="28">
        <f t="shared" si="23"/>
        <v>0</v>
      </c>
    </row>
    <row r="466" spans="1:7">
      <c r="A466" s="27">
        <v>461</v>
      </c>
      <c r="B466" s="28">
        <f>IF(A466&lt;=Analysis!$B$12,A466/Inputs!$B$15,0)</f>
        <v>0</v>
      </c>
      <c r="C466" s="29">
        <f>IF(A466&lt;=Analysis!$B$12,Analysis!$B$11+IF(A466=Analysis!$B$12,Analysis!$B$4,0),0)</f>
        <v>0</v>
      </c>
      <c r="D466" s="29">
        <f>IFERROR(IF(A466&lt;=Analysis!$B$12,1/POWER(1+Analysis!$B$18/Inputs!$B$15,A466),0),0)</f>
        <v>0</v>
      </c>
      <c r="E466" s="29">
        <f t="shared" si="21"/>
        <v>0</v>
      </c>
      <c r="F466" s="30">
        <f t="shared" si="22"/>
        <v>0</v>
      </c>
      <c r="G466" s="28">
        <f t="shared" si="23"/>
        <v>0</v>
      </c>
    </row>
    <row r="467" spans="1:7">
      <c r="A467" s="27">
        <v>462</v>
      </c>
      <c r="B467" s="28">
        <f>IF(A467&lt;=Analysis!$B$12,A467/Inputs!$B$15,0)</f>
        <v>0</v>
      </c>
      <c r="C467" s="29">
        <f>IF(A467&lt;=Analysis!$B$12,Analysis!$B$11+IF(A467=Analysis!$B$12,Analysis!$B$4,0),0)</f>
        <v>0</v>
      </c>
      <c r="D467" s="29">
        <f>IFERROR(IF(A467&lt;=Analysis!$B$12,1/POWER(1+Analysis!$B$18/Inputs!$B$15,A467),0),0)</f>
        <v>0</v>
      </c>
      <c r="E467" s="29">
        <f t="shared" si="21"/>
        <v>0</v>
      </c>
      <c r="F467" s="30">
        <f t="shared" si="22"/>
        <v>0</v>
      </c>
      <c r="G467" s="28">
        <f t="shared" si="23"/>
        <v>0</v>
      </c>
    </row>
    <row r="468" spans="1:7">
      <c r="A468" s="27">
        <v>463</v>
      </c>
      <c r="B468" s="28">
        <f>IF(A468&lt;=Analysis!$B$12,A468/Inputs!$B$15,0)</f>
        <v>0</v>
      </c>
      <c r="C468" s="29">
        <f>IF(A468&lt;=Analysis!$B$12,Analysis!$B$11+IF(A468=Analysis!$B$12,Analysis!$B$4,0),0)</f>
        <v>0</v>
      </c>
      <c r="D468" s="29">
        <f>IFERROR(IF(A468&lt;=Analysis!$B$12,1/POWER(1+Analysis!$B$18/Inputs!$B$15,A468),0),0)</f>
        <v>0</v>
      </c>
      <c r="E468" s="29">
        <f t="shared" si="21"/>
        <v>0</v>
      </c>
      <c r="F468" s="30">
        <f t="shared" si="22"/>
        <v>0</v>
      </c>
      <c r="G468" s="28">
        <f t="shared" si="23"/>
        <v>0</v>
      </c>
    </row>
    <row r="469" spans="1:7">
      <c r="A469" s="27">
        <v>464</v>
      </c>
      <c r="B469" s="28">
        <f>IF(A469&lt;=Analysis!$B$12,A469/Inputs!$B$15,0)</f>
        <v>0</v>
      </c>
      <c r="C469" s="29">
        <f>IF(A469&lt;=Analysis!$B$12,Analysis!$B$11+IF(A469=Analysis!$B$12,Analysis!$B$4,0),0)</f>
        <v>0</v>
      </c>
      <c r="D469" s="29">
        <f>IFERROR(IF(A469&lt;=Analysis!$B$12,1/POWER(1+Analysis!$B$18/Inputs!$B$15,A469),0),0)</f>
        <v>0</v>
      </c>
      <c r="E469" s="29">
        <f t="shared" si="21"/>
        <v>0</v>
      </c>
      <c r="F469" s="30">
        <f t="shared" si="22"/>
        <v>0</v>
      </c>
      <c r="G469" s="28">
        <f t="shared" si="23"/>
        <v>0</v>
      </c>
    </row>
    <row r="470" spans="1:7">
      <c r="A470" s="27">
        <v>465</v>
      </c>
      <c r="B470" s="28">
        <f>IF(A470&lt;=Analysis!$B$12,A470/Inputs!$B$15,0)</f>
        <v>0</v>
      </c>
      <c r="C470" s="29">
        <f>IF(A470&lt;=Analysis!$B$12,Analysis!$B$11+IF(A470=Analysis!$B$12,Analysis!$B$4,0),0)</f>
        <v>0</v>
      </c>
      <c r="D470" s="29">
        <f>IFERROR(IF(A470&lt;=Analysis!$B$12,1/POWER(1+Analysis!$B$18/Inputs!$B$15,A470),0),0)</f>
        <v>0</v>
      </c>
      <c r="E470" s="29">
        <f t="shared" si="21"/>
        <v>0</v>
      </c>
      <c r="F470" s="30">
        <f t="shared" si="22"/>
        <v>0</v>
      </c>
      <c r="G470" s="28">
        <f t="shared" si="23"/>
        <v>0</v>
      </c>
    </row>
    <row r="471" spans="1:7">
      <c r="A471" s="27">
        <v>466</v>
      </c>
      <c r="B471" s="28">
        <f>IF(A471&lt;=Analysis!$B$12,A471/Inputs!$B$15,0)</f>
        <v>0</v>
      </c>
      <c r="C471" s="29">
        <f>IF(A471&lt;=Analysis!$B$12,Analysis!$B$11+IF(A471=Analysis!$B$12,Analysis!$B$4,0),0)</f>
        <v>0</v>
      </c>
      <c r="D471" s="29">
        <f>IFERROR(IF(A471&lt;=Analysis!$B$12,1/POWER(1+Analysis!$B$18/Inputs!$B$15,A471),0),0)</f>
        <v>0</v>
      </c>
      <c r="E471" s="29">
        <f t="shared" si="21"/>
        <v>0</v>
      </c>
      <c r="F471" s="30">
        <f t="shared" si="22"/>
        <v>0</v>
      </c>
      <c r="G471" s="28">
        <f t="shared" si="23"/>
        <v>0</v>
      </c>
    </row>
    <row r="472" spans="1:7">
      <c r="A472" s="27">
        <v>467</v>
      </c>
      <c r="B472" s="28">
        <f>IF(A472&lt;=Analysis!$B$12,A472/Inputs!$B$15,0)</f>
        <v>0</v>
      </c>
      <c r="C472" s="29">
        <f>IF(A472&lt;=Analysis!$B$12,Analysis!$B$11+IF(A472=Analysis!$B$12,Analysis!$B$4,0),0)</f>
        <v>0</v>
      </c>
      <c r="D472" s="29">
        <f>IFERROR(IF(A472&lt;=Analysis!$B$12,1/POWER(1+Analysis!$B$18/Inputs!$B$15,A472),0),0)</f>
        <v>0</v>
      </c>
      <c r="E472" s="29">
        <f t="shared" si="21"/>
        <v>0</v>
      </c>
      <c r="F472" s="30">
        <f t="shared" si="22"/>
        <v>0</v>
      </c>
      <c r="G472" s="28">
        <f t="shared" si="23"/>
        <v>0</v>
      </c>
    </row>
    <row r="473" spans="1:7">
      <c r="A473" s="27">
        <v>468</v>
      </c>
      <c r="B473" s="28">
        <f>IF(A473&lt;=Analysis!$B$12,A473/Inputs!$B$15,0)</f>
        <v>0</v>
      </c>
      <c r="C473" s="29">
        <f>IF(A473&lt;=Analysis!$B$12,Analysis!$B$11+IF(A473=Analysis!$B$12,Analysis!$B$4,0),0)</f>
        <v>0</v>
      </c>
      <c r="D473" s="29">
        <f>IFERROR(IF(A473&lt;=Analysis!$B$12,1/POWER(1+Analysis!$B$18/Inputs!$B$15,A473),0),0)</f>
        <v>0</v>
      </c>
      <c r="E473" s="29">
        <f t="shared" si="21"/>
        <v>0</v>
      </c>
      <c r="F473" s="30">
        <f t="shared" si="22"/>
        <v>0</v>
      </c>
      <c r="G473" s="28">
        <f t="shared" si="23"/>
        <v>0</v>
      </c>
    </row>
    <row r="474" spans="1:7">
      <c r="A474" s="27">
        <v>469</v>
      </c>
      <c r="B474" s="28">
        <f>IF(A474&lt;=Analysis!$B$12,A474/Inputs!$B$15,0)</f>
        <v>0</v>
      </c>
      <c r="C474" s="29">
        <f>IF(A474&lt;=Analysis!$B$12,Analysis!$B$11+IF(A474=Analysis!$B$12,Analysis!$B$4,0),0)</f>
        <v>0</v>
      </c>
      <c r="D474" s="29">
        <f>IFERROR(IF(A474&lt;=Analysis!$B$12,1/POWER(1+Analysis!$B$18/Inputs!$B$15,A474),0),0)</f>
        <v>0</v>
      </c>
      <c r="E474" s="29">
        <f t="shared" si="21"/>
        <v>0</v>
      </c>
      <c r="F474" s="30">
        <f t="shared" si="22"/>
        <v>0</v>
      </c>
      <c r="G474" s="28">
        <f t="shared" si="23"/>
        <v>0</v>
      </c>
    </row>
    <row r="475" spans="1:7">
      <c r="A475" s="27">
        <v>470</v>
      </c>
      <c r="B475" s="28">
        <f>IF(A475&lt;=Analysis!$B$12,A475/Inputs!$B$15,0)</f>
        <v>0</v>
      </c>
      <c r="C475" s="29">
        <f>IF(A475&lt;=Analysis!$B$12,Analysis!$B$11+IF(A475=Analysis!$B$12,Analysis!$B$4,0),0)</f>
        <v>0</v>
      </c>
      <c r="D475" s="29">
        <f>IFERROR(IF(A475&lt;=Analysis!$B$12,1/POWER(1+Analysis!$B$18/Inputs!$B$15,A475),0),0)</f>
        <v>0</v>
      </c>
      <c r="E475" s="29">
        <f t="shared" si="21"/>
        <v>0</v>
      </c>
      <c r="F475" s="30">
        <f t="shared" si="22"/>
        <v>0</v>
      </c>
      <c r="G475" s="28">
        <f t="shared" si="23"/>
        <v>0</v>
      </c>
    </row>
    <row r="476" spans="1:7">
      <c r="A476" s="27">
        <v>471</v>
      </c>
      <c r="B476" s="28">
        <f>IF(A476&lt;=Analysis!$B$12,A476/Inputs!$B$15,0)</f>
        <v>0</v>
      </c>
      <c r="C476" s="29">
        <f>IF(A476&lt;=Analysis!$B$12,Analysis!$B$11+IF(A476=Analysis!$B$12,Analysis!$B$4,0),0)</f>
        <v>0</v>
      </c>
      <c r="D476" s="29">
        <f>IFERROR(IF(A476&lt;=Analysis!$B$12,1/POWER(1+Analysis!$B$18/Inputs!$B$15,A476),0),0)</f>
        <v>0</v>
      </c>
      <c r="E476" s="29">
        <f t="shared" si="21"/>
        <v>0</v>
      </c>
      <c r="F476" s="30">
        <f t="shared" si="22"/>
        <v>0</v>
      </c>
      <c r="G476" s="28">
        <f t="shared" si="23"/>
        <v>0</v>
      </c>
    </row>
    <row r="477" spans="1:7">
      <c r="A477" s="27">
        <v>472</v>
      </c>
      <c r="B477" s="28">
        <f>IF(A477&lt;=Analysis!$B$12,A477/Inputs!$B$15,0)</f>
        <v>0</v>
      </c>
      <c r="C477" s="29">
        <f>IF(A477&lt;=Analysis!$B$12,Analysis!$B$11+IF(A477=Analysis!$B$12,Analysis!$B$4,0),0)</f>
        <v>0</v>
      </c>
      <c r="D477" s="29">
        <f>IFERROR(IF(A477&lt;=Analysis!$B$12,1/POWER(1+Analysis!$B$18/Inputs!$B$15,A477),0),0)</f>
        <v>0</v>
      </c>
      <c r="E477" s="29">
        <f t="shared" si="21"/>
        <v>0</v>
      </c>
      <c r="F477" s="30">
        <f t="shared" si="22"/>
        <v>0</v>
      </c>
      <c r="G477" s="28">
        <f t="shared" si="23"/>
        <v>0</v>
      </c>
    </row>
    <row r="478" spans="1:7">
      <c r="A478" s="27">
        <v>473</v>
      </c>
      <c r="B478" s="28">
        <f>IF(A478&lt;=Analysis!$B$12,A478/Inputs!$B$15,0)</f>
        <v>0</v>
      </c>
      <c r="C478" s="29">
        <f>IF(A478&lt;=Analysis!$B$12,Analysis!$B$11+IF(A478=Analysis!$B$12,Analysis!$B$4,0),0)</f>
        <v>0</v>
      </c>
      <c r="D478" s="29">
        <f>IFERROR(IF(A478&lt;=Analysis!$B$12,1/POWER(1+Analysis!$B$18/Inputs!$B$15,A478),0),0)</f>
        <v>0</v>
      </c>
      <c r="E478" s="29">
        <f t="shared" si="21"/>
        <v>0</v>
      </c>
      <c r="F478" s="30">
        <f t="shared" si="22"/>
        <v>0</v>
      </c>
      <c r="G478" s="28">
        <f t="shared" si="23"/>
        <v>0</v>
      </c>
    </row>
    <row r="479" spans="1:7">
      <c r="A479" s="27">
        <v>474</v>
      </c>
      <c r="B479" s="28">
        <f>IF(A479&lt;=Analysis!$B$12,A479/Inputs!$B$15,0)</f>
        <v>0</v>
      </c>
      <c r="C479" s="29">
        <f>IF(A479&lt;=Analysis!$B$12,Analysis!$B$11+IF(A479=Analysis!$B$12,Analysis!$B$4,0),0)</f>
        <v>0</v>
      </c>
      <c r="D479" s="29">
        <f>IFERROR(IF(A479&lt;=Analysis!$B$12,1/POWER(1+Analysis!$B$18/Inputs!$B$15,A479),0),0)</f>
        <v>0</v>
      </c>
      <c r="E479" s="29">
        <f t="shared" si="21"/>
        <v>0</v>
      </c>
      <c r="F479" s="30">
        <f t="shared" si="22"/>
        <v>0</v>
      </c>
      <c r="G479" s="28">
        <f t="shared" si="23"/>
        <v>0</v>
      </c>
    </row>
    <row r="480" spans="1:7">
      <c r="A480" s="27">
        <v>475</v>
      </c>
      <c r="B480" s="28">
        <f>IF(A480&lt;=Analysis!$B$12,A480/Inputs!$B$15,0)</f>
        <v>0</v>
      </c>
      <c r="C480" s="29">
        <f>IF(A480&lt;=Analysis!$B$12,Analysis!$B$11+IF(A480=Analysis!$B$12,Analysis!$B$4,0),0)</f>
        <v>0</v>
      </c>
      <c r="D480" s="29">
        <f>IFERROR(IF(A480&lt;=Analysis!$B$12,1/POWER(1+Analysis!$B$18/Inputs!$B$15,A480),0),0)</f>
        <v>0</v>
      </c>
      <c r="E480" s="29">
        <f t="shared" si="21"/>
        <v>0</v>
      </c>
      <c r="F480" s="30">
        <f t="shared" si="22"/>
        <v>0</v>
      </c>
      <c r="G480" s="28">
        <f t="shared" si="23"/>
        <v>0</v>
      </c>
    </row>
    <row r="481" spans="1:7">
      <c r="A481" s="27">
        <v>476</v>
      </c>
      <c r="B481" s="28">
        <f>IF(A481&lt;=Analysis!$B$12,A481/Inputs!$B$15,0)</f>
        <v>0</v>
      </c>
      <c r="C481" s="29">
        <f>IF(A481&lt;=Analysis!$B$12,Analysis!$B$11+IF(A481=Analysis!$B$12,Analysis!$B$4,0),0)</f>
        <v>0</v>
      </c>
      <c r="D481" s="29">
        <f>IFERROR(IF(A481&lt;=Analysis!$B$12,1/POWER(1+Analysis!$B$18/Inputs!$B$15,A481),0),0)</f>
        <v>0</v>
      </c>
      <c r="E481" s="29">
        <f t="shared" si="21"/>
        <v>0</v>
      </c>
      <c r="F481" s="30">
        <f t="shared" si="22"/>
        <v>0</v>
      </c>
      <c r="G481" s="28">
        <f t="shared" si="23"/>
        <v>0</v>
      </c>
    </row>
    <row r="482" spans="1:7">
      <c r="A482" s="27">
        <v>477</v>
      </c>
      <c r="B482" s="28">
        <f>IF(A482&lt;=Analysis!$B$12,A482/Inputs!$B$15,0)</f>
        <v>0</v>
      </c>
      <c r="C482" s="29">
        <f>IF(A482&lt;=Analysis!$B$12,Analysis!$B$11+IF(A482=Analysis!$B$12,Analysis!$B$4,0),0)</f>
        <v>0</v>
      </c>
      <c r="D482" s="29">
        <f>IFERROR(IF(A482&lt;=Analysis!$B$12,1/POWER(1+Analysis!$B$18/Inputs!$B$15,A482),0),0)</f>
        <v>0</v>
      </c>
      <c r="E482" s="29">
        <f t="shared" si="21"/>
        <v>0</v>
      </c>
      <c r="F482" s="30">
        <f t="shared" si="22"/>
        <v>0</v>
      </c>
      <c r="G482" s="28">
        <f t="shared" si="23"/>
        <v>0</v>
      </c>
    </row>
    <row r="483" spans="1:7">
      <c r="A483" s="27">
        <v>478</v>
      </c>
      <c r="B483" s="28">
        <f>IF(A483&lt;=Analysis!$B$12,A483/Inputs!$B$15,0)</f>
        <v>0</v>
      </c>
      <c r="C483" s="29">
        <f>IF(A483&lt;=Analysis!$B$12,Analysis!$B$11+IF(A483=Analysis!$B$12,Analysis!$B$4,0),0)</f>
        <v>0</v>
      </c>
      <c r="D483" s="29">
        <f>IFERROR(IF(A483&lt;=Analysis!$B$12,1/POWER(1+Analysis!$B$18/Inputs!$B$15,A483),0),0)</f>
        <v>0</v>
      </c>
      <c r="E483" s="29">
        <f t="shared" si="21"/>
        <v>0</v>
      </c>
      <c r="F483" s="30">
        <f t="shared" si="22"/>
        <v>0</v>
      </c>
      <c r="G483" s="28">
        <f t="shared" si="23"/>
        <v>0</v>
      </c>
    </row>
    <row r="484" spans="1:7">
      <c r="A484" s="27">
        <v>479</v>
      </c>
      <c r="B484" s="28">
        <f>IF(A484&lt;=Analysis!$B$12,A484/Inputs!$B$15,0)</f>
        <v>0</v>
      </c>
      <c r="C484" s="29">
        <f>IF(A484&lt;=Analysis!$B$12,Analysis!$B$11+IF(A484=Analysis!$B$12,Analysis!$B$4,0),0)</f>
        <v>0</v>
      </c>
      <c r="D484" s="29">
        <f>IFERROR(IF(A484&lt;=Analysis!$B$12,1/POWER(1+Analysis!$B$18/Inputs!$B$15,A484),0),0)</f>
        <v>0</v>
      </c>
      <c r="E484" s="29">
        <f t="shared" si="21"/>
        <v>0</v>
      </c>
      <c r="F484" s="30">
        <f t="shared" si="22"/>
        <v>0</v>
      </c>
      <c r="G484" s="28">
        <f t="shared" si="23"/>
        <v>0</v>
      </c>
    </row>
    <row r="485" spans="1:7">
      <c r="A485" s="27">
        <v>480</v>
      </c>
      <c r="B485" s="28">
        <f>IF(A485&lt;=Analysis!$B$12,A485/Inputs!$B$15,0)</f>
        <v>0</v>
      </c>
      <c r="C485" s="29">
        <f>IF(A485&lt;=Analysis!$B$12,Analysis!$B$11+IF(A485=Analysis!$B$12,Analysis!$B$4,0),0)</f>
        <v>0</v>
      </c>
      <c r="D485" s="29">
        <f>IFERROR(IF(A485&lt;=Analysis!$B$12,1/POWER(1+Analysis!$B$18/Inputs!$B$15,A485),0),0)</f>
        <v>0</v>
      </c>
      <c r="E485" s="29">
        <f t="shared" si="21"/>
        <v>0</v>
      </c>
      <c r="F485" s="30">
        <f t="shared" si="22"/>
        <v>0</v>
      </c>
      <c r="G485" s="28">
        <f t="shared" si="23"/>
        <v>0</v>
      </c>
    </row>
    <row r="486" spans="1:7">
      <c r="A486" s="27">
        <v>481</v>
      </c>
      <c r="B486" s="28">
        <f>IF(A486&lt;=Analysis!$B$12,A486/Inputs!$B$15,0)</f>
        <v>0</v>
      </c>
      <c r="C486" s="29">
        <f>IF(A486&lt;=Analysis!$B$12,Analysis!$B$11+IF(A486=Analysis!$B$12,Analysis!$B$4,0),0)</f>
        <v>0</v>
      </c>
      <c r="D486" s="29">
        <f>IFERROR(IF(A486&lt;=Analysis!$B$12,1/POWER(1+Analysis!$B$18/Inputs!$B$15,A486),0),0)</f>
        <v>0</v>
      </c>
      <c r="E486" s="29">
        <f t="shared" si="21"/>
        <v>0</v>
      </c>
      <c r="F486" s="30">
        <f t="shared" si="22"/>
        <v>0</v>
      </c>
      <c r="G486" s="28">
        <f t="shared" si="23"/>
        <v>0</v>
      </c>
    </row>
    <row r="487" spans="1:7">
      <c r="A487" s="27">
        <v>482</v>
      </c>
      <c r="B487" s="28">
        <f>IF(A487&lt;=Analysis!$B$12,A487/Inputs!$B$15,0)</f>
        <v>0</v>
      </c>
      <c r="C487" s="29">
        <f>IF(A487&lt;=Analysis!$B$12,Analysis!$B$11+IF(A487=Analysis!$B$12,Analysis!$B$4,0),0)</f>
        <v>0</v>
      </c>
      <c r="D487" s="29">
        <f>IFERROR(IF(A487&lt;=Analysis!$B$12,1/POWER(1+Analysis!$B$18/Inputs!$B$15,A487),0),0)</f>
        <v>0</v>
      </c>
      <c r="E487" s="29">
        <f t="shared" si="21"/>
        <v>0</v>
      </c>
      <c r="F487" s="30">
        <f t="shared" si="22"/>
        <v>0</v>
      </c>
      <c r="G487" s="28">
        <f t="shared" si="23"/>
        <v>0</v>
      </c>
    </row>
    <row r="488" spans="1:7">
      <c r="A488" s="27">
        <v>483</v>
      </c>
      <c r="B488" s="28">
        <f>IF(A488&lt;=Analysis!$B$12,A488/Inputs!$B$15,0)</f>
        <v>0</v>
      </c>
      <c r="C488" s="29">
        <f>IF(A488&lt;=Analysis!$B$12,Analysis!$B$11+IF(A488=Analysis!$B$12,Analysis!$B$4,0),0)</f>
        <v>0</v>
      </c>
      <c r="D488" s="29">
        <f>IFERROR(IF(A488&lt;=Analysis!$B$12,1/POWER(1+Analysis!$B$18/Inputs!$B$15,A488),0),0)</f>
        <v>0</v>
      </c>
      <c r="E488" s="29">
        <f t="shared" si="21"/>
        <v>0</v>
      </c>
      <c r="F488" s="30">
        <f t="shared" si="22"/>
        <v>0</v>
      </c>
      <c r="G488" s="28">
        <f t="shared" si="23"/>
        <v>0</v>
      </c>
    </row>
    <row r="489" spans="1:7">
      <c r="A489" s="27">
        <v>484</v>
      </c>
      <c r="B489" s="28">
        <f>IF(A489&lt;=Analysis!$B$12,A489/Inputs!$B$15,0)</f>
        <v>0</v>
      </c>
      <c r="C489" s="29">
        <f>IF(A489&lt;=Analysis!$B$12,Analysis!$B$11+IF(A489=Analysis!$B$12,Analysis!$B$4,0),0)</f>
        <v>0</v>
      </c>
      <c r="D489" s="29">
        <f>IFERROR(IF(A489&lt;=Analysis!$B$12,1/POWER(1+Analysis!$B$18/Inputs!$B$15,A489),0),0)</f>
        <v>0</v>
      </c>
      <c r="E489" s="29">
        <f t="shared" si="21"/>
        <v>0</v>
      </c>
      <c r="F489" s="30">
        <f t="shared" si="22"/>
        <v>0</v>
      </c>
      <c r="G489" s="28">
        <f t="shared" si="23"/>
        <v>0</v>
      </c>
    </row>
    <row r="490" spans="1:7">
      <c r="A490" s="27">
        <v>485</v>
      </c>
      <c r="B490" s="28">
        <f>IF(A490&lt;=Analysis!$B$12,A490/Inputs!$B$15,0)</f>
        <v>0</v>
      </c>
      <c r="C490" s="29">
        <f>IF(A490&lt;=Analysis!$B$12,Analysis!$B$11+IF(A490=Analysis!$B$12,Analysis!$B$4,0),0)</f>
        <v>0</v>
      </c>
      <c r="D490" s="29">
        <f>IFERROR(IF(A490&lt;=Analysis!$B$12,1/POWER(1+Analysis!$B$18/Inputs!$B$15,A490),0),0)</f>
        <v>0</v>
      </c>
      <c r="E490" s="29">
        <f t="shared" si="21"/>
        <v>0</v>
      </c>
      <c r="F490" s="30">
        <f t="shared" si="22"/>
        <v>0</v>
      </c>
      <c r="G490" s="28">
        <f t="shared" si="23"/>
        <v>0</v>
      </c>
    </row>
    <row r="491" spans="1:7">
      <c r="A491" s="27">
        <v>486</v>
      </c>
      <c r="B491" s="28">
        <f>IF(A491&lt;=Analysis!$B$12,A491/Inputs!$B$15,0)</f>
        <v>0</v>
      </c>
      <c r="C491" s="29">
        <f>IF(A491&lt;=Analysis!$B$12,Analysis!$B$11+IF(A491=Analysis!$B$12,Analysis!$B$4,0),0)</f>
        <v>0</v>
      </c>
      <c r="D491" s="29">
        <f>IFERROR(IF(A491&lt;=Analysis!$B$12,1/POWER(1+Analysis!$B$18/Inputs!$B$15,A491),0),0)</f>
        <v>0</v>
      </c>
      <c r="E491" s="29">
        <f t="shared" si="21"/>
        <v>0</v>
      </c>
      <c r="F491" s="30">
        <f t="shared" si="22"/>
        <v>0</v>
      </c>
      <c r="G491" s="28">
        <f t="shared" si="23"/>
        <v>0</v>
      </c>
    </row>
    <row r="492" spans="1:7">
      <c r="A492" s="27">
        <v>487</v>
      </c>
      <c r="B492" s="28">
        <f>IF(A492&lt;=Analysis!$B$12,A492/Inputs!$B$15,0)</f>
        <v>0</v>
      </c>
      <c r="C492" s="29">
        <f>IF(A492&lt;=Analysis!$B$12,Analysis!$B$11+IF(A492=Analysis!$B$12,Analysis!$B$4,0),0)</f>
        <v>0</v>
      </c>
      <c r="D492" s="29">
        <f>IFERROR(IF(A492&lt;=Analysis!$B$12,1/POWER(1+Analysis!$B$18/Inputs!$B$15,A492),0),0)</f>
        <v>0</v>
      </c>
      <c r="E492" s="29">
        <f t="shared" si="21"/>
        <v>0</v>
      </c>
      <c r="F492" s="30">
        <f t="shared" si="22"/>
        <v>0</v>
      </c>
      <c r="G492" s="28">
        <f t="shared" si="23"/>
        <v>0</v>
      </c>
    </row>
    <row r="493" spans="1:7">
      <c r="A493" s="27">
        <v>488</v>
      </c>
      <c r="B493" s="28">
        <f>IF(A493&lt;=Analysis!$B$12,A493/Inputs!$B$15,0)</f>
        <v>0</v>
      </c>
      <c r="C493" s="29">
        <f>IF(A493&lt;=Analysis!$B$12,Analysis!$B$11+IF(A493=Analysis!$B$12,Analysis!$B$4,0),0)</f>
        <v>0</v>
      </c>
      <c r="D493" s="29">
        <f>IFERROR(IF(A493&lt;=Analysis!$B$12,1/POWER(1+Analysis!$B$18/Inputs!$B$15,A493),0),0)</f>
        <v>0</v>
      </c>
      <c r="E493" s="29">
        <f t="shared" si="21"/>
        <v>0</v>
      </c>
      <c r="F493" s="30">
        <f t="shared" si="22"/>
        <v>0</v>
      </c>
      <c r="G493" s="28">
        <f t="shared" si="23"/>
        <v>0</v>
      </c>
    </row>
    <row r="494" spans="1:7">
      <c r="A494" s="27">
        <v>489</v>
      </c>
      <c r="B494" s="28">
        <f>IF(A494&lt;=Analysis!$B$12,A494/Inputs!$B$15,0)</f>
        <v>0</v>
      </c>
      <c r="C494" s="29">
        <f>IF(A494&lt;=Analysis!$B$12,Analysis!$B$11+IF(A494=Analysis!$B$12,Analysis!$B$4,0),0)</f>
        <v>0</v>
      </c>
      <c r="D494" s="29">
        <f>IFERROR(IF(A494&lt;=Analysis!$B$12,1/POWER(1+Analysis!$B$18/Inputs!$B$15,A494),0),0)</f>
        <v>0</v>
      </c>
      <c r="E494" s="29">
        <f t="shared" si="21"/>
        <v>0</v>
      </c>
      <c r="F494" s="30">
        <f t="shared" si="22"/>
        <v>0</v>
      </c>
      <c r="G494" s="28">
        <f t="shared" si="23"/>
        <v>0</v>
      </c>
    </row>
    <row r="495" spans="1:7">
      <c r="A495" s="27">
        <v>490</v>
      </c>
      <c r="B495" s="28">
        <f>IF(A495&lt;=Analysis!$B$12,A495/Inputs!$B$15,0)</f>
        <v>0</v>
      </c>
      <c r="C495" s="29">
        <f>IF(A495&lt;=Analysis!$B$12,Analysis!$B$11+IF(A495=Analysis!$B$12,Analysis!$B$4,0),0)</f>
        <v>0</v>
      </c>
      <c r="D495" s="29">
        <f>IFERROR(IF(A495&lt;=Analysis!$B$12,1/POWER(1+Analysis!$B$18/Inputs!$B$15,A495),0),0)</f>
        <v>0</v>
      </c>
      <c r="E495" s="29">
        <f t="shared" si="21"/>
        <v>0</v>
      </c>
      <c r="F495" s="30">
        <f t="shared" si="22"/>
        <v>0</v>
      </c>
      <c r="G495" s="28">
        <f t="shared" si="23"/>
        <v>0</v>
      </c>
    </row>
    <row r="496" spans="1:7">
      <c r="A496" s="27">
        <v>491</v>
      </c>
      <c r="B496" s="28">
        <f>IF(A496&lt;=Analysis!$B$12,A496/Inputs!$B$15,0)</f>
        <v>0</v>
      </c>
      <c r="C496" s="29">
        <f>IF(A496&lt;=Analysis!$B$12,Analysis!$B$11+IF(A496=Analysis!$B$12,Analysis!$B$4,0),0)</f>
        <v>0</v>
      </c>
      <c r="D496" s="29">
        <f>IFERROR(IF(A496&lt;=Analysis!$B$12,1/POWER(1+Analysis!$B$18/Inputs!$B$15,A496),0),0)</f>
        <v>0</v>
      </c>
      <c r="E496" s="29">
        <f t="shared" si="21"/>
        <v>0</v>
      </c>
      <c r="F496" s="30">
        <f t="shared" si="22"/>
        <v>0</v>
      </c>
      <c r="G496" s="28">
        <f t="shared" si="23"/>
        <v>0</v>
      </c>
    </row>
    <row r="497" spans="1:7">
      <c r="A497" s="27">
        <v>492</v>
      </c>
      <c r="B497" s="28">
        <f>IF(A497&lt;=Analysis!$B$12,A497/Inputs!$B$15,0)</f>
        <v>0</v>
      </c>
      <c r="C497" s="29">
        <f>IF(A497&lt;=Analysis!$B$12,Analysis!$B$11+IF(A497=Analysis!$B$12,Analysis!$B$4,0),0)</f>
        <v>0</v>
      </c>
      <c r="D497" s="29">
        <f>IFERROR(IF(A497&lt;=Analysis!$B$12,1/POWER(1+Analysis!$B$18/Inputs!$B$15,A497),0),0)</f>
        <v>0</v>
      </c>
      <c r="E497" s="29">
        <f t="shared" si="21"/>
        <v>0</v>
      </c>
      <c r="F497" s="30">
        <f t="shared" si="22"/>
        <v>0</v>
      </c>
      <c r="G497" s="28">
        <f t="shared" si="23"/>
        <v>0</v>
      </c>
    </row>
    <row r="498" spans="1:7">
      <c r="A498" s="27">
        <v>493</v>
      </c>
      <c r="B498" s="28">
        <f>IF(A498&lt;=Analysis!$B$12,A498/Inputs!$B$15,0)</f>
        <v>0</v>
      </c>
      <c r="C498" s="29">
        <f>IF(A498&lt;=Analysis!$B$12,Analysis!$B$11+IF(A498=Analysis!$B$12,Analysis!$B$4,0),0)</f>
        <v>0</v>
      </c>
      <c r="D498" s="29">
        <f>IFERROR(IF(A498&lt;=Analysis!$B$12,1/POWER(1+Analysis!$B$18/Inputs!$B$15,A498),0),0)</f>
        <v>0</v>
      </c>
      <c r="E498" s="29">
        <f t="shared" si="21"/>
        <v>0</v>
      </c>
      <c r="F498" s="30">
        <f t="shared" si="22"/>
        <v>0</v>
      </c>
      <c r="G498" s="28">
        <f t="shared" si="23"/>
        <v>0</v>
      </c>
    </row>
    <row r="499" spans="1:7">
      <c r="A499" s="27">
        <v>494</v>
      </c>
      <c r="B499" s="28">
        <f>IF(A499&lt;=Analysis!$B$12,A499/Inputs!$B$15,0)</f>
        <v>0</v>
      </c>
      <c r="C499" s="29">
        <f>IF(A499&lt;=Analysis!$B$12,Analysis!$B$11+IF(A499=Analysis!$B$12,Analysis!$B$4,0),0)</f>
        <v>0</v>
      </c>
      <c r="D499" s="29">
        <f>IFERROR(IF(A499&lt;=Analysis!$B$12,1/POWER(1+Analysis!$B$18/Inputs!$B$15,A499),0),0)</f>
        <v>0</v>
      </c>
      <c r="E499" s="29">
        <f t="shared" si="21"/>
        <v>0</v>
      </c>
      <c r="F499" s="30">
        <f t="shared" si="22"/>
        <v>0</v>
      </c>
      <c r="G499" s="28">
        <f t="shared" si="23"/>
        <v>0</v>
      </c>
    </row>
    <row r="500" spans="1:7">
      <c r="A500" s="27">
        <v>495</v>
      </c>
      <c r="B500" s="28">
        <f>IF(A500&lt;=Analysis!$B$12,A500/Inputs!$B$15,0)</f>
        <v>0</v>
      </c>
      <c r="C500" s="29">
        <f>IF(A500&lt;=Analysis!$B$12,Analysis!$B$11+IF(A500=Analysis!$B$12,Analysis!$B$4,0),0)</f>
        <v>0</v>
      </c>
      <c r="D500" s="29">
        <f>IFERROR(IF(A500&lt;=Analysis!$B$12,1/POWER(1+Analysis!$B$18/Inputs!$B$15,A500),0),0)</f>
        <v>0</v>
      </c>
      <c r="E500" s="29">
        <f t="shared" si="21"/>
        <v>0</v>
      </c>
      <c r="F500" s="30">
        <f t="shared" si="22"/>
        <v>0</v>
      </c>
      <c r="G500" s="28">
        <f t="shared" si="23"/>
        <v>0</v>
      </c>
    </row>
    <row r="501" spans="1:7">
      <c r="A501" s="27">
        <v>496</v>
      </c>
      <c r="B501" s="28">
        <f>IF(A501&lt;=Analysis!$B$12,A501/Inputs!$B$15,0)</f>
        <v>0</v>
      </c>
      <c r="C501" s="29">
        <f>IF(A501&lt;=Analysis!$B$12,Analysis!$B$11+IF(A501=Analysis!$B$12,Analysis!$B$4,0),0)</f>
        <v>0</v>
      </c>
      <c r="D501" s="29">
        <f>IFERROR(IF(A501&lt;=Analysis!$B$12,1/POWER(1+Analysis!$B$18/Inputs!$B$15,A501),0),0)</f>
        <v>0</v>
      </c>
      <c r="E501" s="29">
        <f t="shared" si="21"/>
        <v>0</v>
      </c>
      <c r="F501" s="30">
        <f t="shared" si="22"/>
        <v>0</v>
      </c>
      <c r="G501" s="28">
        <f t="shared" si="23"/>
        <v>0</v>
      </c>
    </row>
    <row r="502" spans="1:7">
      <c r="A502" s="27">
        <v>497</v>
      </c>
      <c r="B502" s="28">
        <f>IF(A502&lt;=Analysis!$B$12,A502/Inputs!$B$15,0)</f>
        <v>0</v>
      </c>
      <c r="C502" s="29">
        <f>IF(A502&lt;=Analysis!$B$12,Analysis!$B$11+IF(A502=Analysis!$B$12,Analysis!$B$4,0),0)</f>
        <v>0</v>
      </c>
      <c r="D502" s="29">
        <f>IFERROR(IF(A502&lt;=Analysis!$B$12,1/POWER(1+Analysis!$B$18/Inputs!$B$15,A502),0),0)</f>
        <v>0</v>
      </c>
      <c r="E502" s="29">
        <f t="shared" si="21"/>
        <v>0</v>
      </c>
      <c r="F502" s="30">
        <f t="shared" si="22"/>
        <v>0</v>
      </c>
      <c r="G502" s="28">
        <f t="shared" si="23"/>
        <v>0</v>
      </c>
    </row>
    <row r="503" spans="1:7">
      <c r="A503" s="27">
        <v>498</v>
      </c>
      <c r="B503" s="28">
        <f>IF(A503&lt;=Analysis!$B$12,A503/Inputs!$B$15,0)</f>
        <v>0</v>
      </c>
      <c r="C503" s="29">
        <f>IF(A503&lt;=Analysis!$B$12,Analysis!$B$11+IF(A503=Analysis!$B$12,Analysis!$B$4,0),0)</f>
        <v>0</v>
      </c>
      <c r="D503" s="29">
        <f>IFERROR(IF(A503&lt;=Analysis!$B$12,1/POWER(1+Analysis!$B$18/Inputs!$B$15,A503),0),0)</f>
        <v>0</v>
      </c>
      <c r="E503" s="29">
        <f t="shared" si="21"/>
        <v>0</v>
      </c>
      <c r="F503" s="30">
        <f t="shared" si="22"/>
        <v>0</v>
      </c>
      <c r="G503" s="28">
        <f t="shared" si="23"/>
        <v>0</v>
      </c>
    </row>
    <row r="504" spans="1:7">
      <c r="A504" s="27">
        <v>499</v>
      </c>
      <c r="B504" s="28">
        <f>IF(A504&lt;=Analysis!$B$12,A504/Inputs!$B$15,0)</f>
        <v>0</v>
      </c>
      <c r="C504" s="29">
        <f>IF(A504&lt;=Analysis!$B$12,Analysis!$B$11+IF(A504=Analysis!$B$12,Analysis!$B$4,0),0)</f>
        <v>0</v>
      </c>
      <c r="D504" s="29">
        <f>IFERROR(IF(A504&lt;=Analysis!$B$12,1/POWER(1+Analysis!$B$18/Inputs!$B$15,A504),0),0)</f>
        <v>0</v>
      </c>
      <c r="E504" s="29">
        <f t="shared" si="21"/>
        <v>0</v>
      </c>
      <c r="F504" s="30">
        <f t="shared" si="22"/>
        <v>0</v>
      </c>
      <c r="G504" s="28">
        <f t="shared" si="23"/>
        <v>0</v>
      </c>
    </row>
    <row r="505" spans="1:7">
      <c r="A505" s="27">
        <v>500</v>
      </c>
      <c r="B505" s="28">
        <f>IF(A505&lt;=Analysis!$B$12,A505/Inputs!$B$15,0)</f>
        <v>0</v>
      </c>
      <c r="C505" s="29">
        <f>IF(A505&lt;=Analysis!$B$12,Analysis!$B$11+IF(A505=Analysis!$B$12,Analysis!$B$4,0),0)</f>
        <v>0</v>
      </c>
      <c r="D505" s="29">
        <f>IFERROR(IF(A505&lt;=Analysis!$B$12,1/POWER(1+Analysis!$B$18/Inputs!$B$15,A505),0),0)</f>
        <v>0</v>
      </c>
      <c r="E505" s="29">
        <f t="shared" si="21"/>
        <v>0</v>
      </c>
      <c r="F505" s="30">
        <f t="shared" si="22"/>
        <v>0</v>
      </c>
      <c r="G505" s="28">
        <f t="shared" si="23"/>
        <v>0</v>
      </c>
    </row>
    <row r="506" spans="1:7">
      <c r="A506" s="27">
        <v>501</v>
      </c>
      <c r="B506" s="28">
        <f>IF(A506&lt;=Analysis!$B$12,A506/Inputs!$B$15,0)</f>
        <v>0</v>
      </c>
      <c r="C506" s="29">
        <f>IF(A506&lt;=Analysis!$B$12,Analysis!$B$11+IF(A506=Analysis!$B$12,Analysis!$B$4,0),0)</f>
        <v>0</v>
      </c>
      <c r="D506" s="29">
        <f>IFERROR(IF(A506&lt;=Analysis!$B$12,1/POWER(1+Analysis!$B$18/Inputs!$B$15,A506),0),0)</f>
        <v>0</v>
      </c>
      <c r="E506" s="29">
        <f t="shared" si="21"/>
        <v>0</v>
      </c>
      <c r="F506" s="30">
        <f t="shared" si="22"/>
        <v>0</v>
      </c>
      <c r="G506" s="28">
        <f t="shared" si="23"/>
        <v>0</v>
      </c>
    </row>
    <row r="507" spans="1:7">
      <c r="A507" s="27">
        <v>502</v>
      </c>
      <c r="B507" s="28">
        <f>IF(A507&lt;=Analysis!$B$12,A507/Inputs!$B$15,0)</f>
        <v>0</v>
      </c>
      <c r="C507" s="29">
        <f>IF(A507&lt;=Analysis!$B$12,Analysis!$B$11+IF(A507=Analysis!$B$12,Analysis!$B$4,0),0)</f>
        <v>0</v>
      </c>
      <c r="D507" s="29">
        <f>IFERROR(IF(A507&lt;=Analysis!$B$12,1/POWER(1+Analysis!$B$18/Inputs!$B$15,A507),0),0)</f>
        <v>0</v>
      </c>
      <c r="E507" s="29">
        <f t="shared" si="21"/>
        <v>0</v>
      </c>
      <c r="F507" s="30">
        <f t="shared" si="22"/>
        <v>0</v>
      </c>
      <c r="G507" s="28">
        <f t="shared" si="23"/>
        <v>0</v>
      </c>
    </row>
    <row r="508" spans="1:7">
      <c r="A508" s="27">
        <v>503</v>
      </c>
      <c r="B508" s="28">
        <f>IF(A508&lt;=Analysis!$B$12,A508/Inputs!$B$15,0)</f>
        <v>0</v>
      </c>
      <c r="C508" s="29">
        <f>IF(A508&lt;=Analysis!$B$12,Analysis!$B$11+IF(A508=Analysis!$B$12,Analysis!$B$4,0),0)</f>
        <v>0</v>
      </c>
      <c r="D508" s="29">
        <f>IFERROR(IF(A508&lt;=Analysis!$B$12,1/POWER(1+Analysis!$B$18/Inputs!$B$15,A508),0),0)</f>
        <v>0</v>
      </c>
      <c r="E508" s="29">
        <f t="shared" si="21"/>
        <v>0</v>
      </c>
      <c r="F508" s="30">
        <f t="shared" si="22"/>
        <v>0</v>
      </c>
      <c r="G508" s="28">
        <f t="shared" si="23"/>
        <v>0</v>
      </c>
    </row>
    <row r="509" spans="1:7">
      <c r="A509" s="27">
        <v>504</v>
      </c>
      <c r="B509" s="28">
        <f>IF(A509&lt;=Analysis!$B$12,A509/Inputs!$B$15,0)</f>
        <v>0</v>
      </c>
      <c r="C509" s="29">
        <f>IF(A509&lt;=Analysis!$B$12,Analysis!$B$11+IF(A509=Analysis!$B$12,Analysis!$B$4,0),0)</f>
        <v>0</v>
      </c>
      <c r="D509" s="29">
        <f>IFERROR(IF(A509&lt;=Analysis!$B$12,1/POWER(1+Analysis!$B$18/Inputs!$B$15,A509),0),0)</f>
        <v>0</v>
      </c>
      <c r="E509" s="29">
        <f t="shared" si="21"/>
        <v>0</v>
      </c>
      <c r="F509" s="30">
        <f t="shared" si="22"/>
        <v>0</v>
      </c>
      <c r="G509" s="28">
        <f t="shared" si="23"/>
        <v>0</v>
      </c>
    </row>
    <row r="510" spans="1:7">
      <c r="A510" s="27">
        <v>505</v>
      </c>
      <c r="B510" s="28">
        <f>IF(A510&lt;=Analysis!$B$12,A510/Inputs!$B$15,0)</f>
        <v>0</v>
      </c>
      <c r="C510" s="29">
        <f>IF(A510&lt;=Analysis!$B$12,Analysis!$B$11+IF(A510=Analysis!$B$12,Analysis!$B$4,0),0)</f>
        <v>0</v>
      </c>
      <c r="D510" s="29">
        <f>IFERROR(IF(A510&lt;=Analysis!$B$12,1/POWER(1+Analysis!$B$18/Inputs!$B$15,A510),0),0)</f>
        <v>0</v>
      </c>
      <c r="E510" s="29">
        <f t="shared" si="21"/>
        <v>0</v>
      </c>
      <c r="F510" s="30">
        <f t="shared" si="22"/>
        <v>0</v>
      </c>
      <c r="G510" s="28">
        <f t="shared" si="23"/>
        <v>0</v>
      </c>
    </row>
    <row r="511" spans="1:7">
      <c r="A511" s="27">
        <v>506</v>
      </c>
      <c r="B511" s="28">
        <f>IF(A511&lt;=Analysis!$B$12,A511/Inputs!$B$15,0)</f>
        <v>0</v>
      </c>
      <c r="C511" s="29">
        <f>IF(A511&lt;=Analysis!$B$12,Analysis!$B$11+IF(A511=Analysis!$B$12,Analysis!$B$4,0),0)</f>
        <v>0</v>
      </c>
      <c r="D511" s="29">
        <f>IFERROR(IF(A511&lt;=Analysis!$B$12,1/POWER(1+Analysis!$B$18/Inputs!$B$15,A511),0),0)</f>
        <v>0</v>
      </c>
      <c r="E511" s="29">
        <f t="shared" si="21"/>
        <v>0</v>
      </c>
      <c r="F511" s="30">
        <f t="shared" si="22"/>
        <v>0</v>
      </c>
      <c r="G511" s="28">
        <f t="shared" si="23"/>
        <v>0</v>
      </c>
    </row>
    <row r="512" spans="1:7">
      <c r="A512" s="27">
        <v>507</v>
      </c>
      <c r="B512" s="28">
        <f>IF(A512&lt;=Analysis!$B$12,A512/Inputs!$B$15,0)</f>
        <v>0</v>
      </c>
      <c r="C512" s="29">
        <f>IF(A512&lt;=Analysis!$B$12,Analysis!$B$11+IF(A512=Analysis!$B$12,Analysis!$B$4,0),0)</f>
        <v>0</v>
      </c>
      <c r="D512" s="29">
        <f>IFERROR(IF(A512&lt;=Analysis!$B$12,1/POWER(1+Analysis!$B$18/Inputs!$B$15,A512),0),0)</f>
        <v>0</v>
      </c>
      <c r="E512" s="29">
        <f t="shared" si="21"/>
        <v>0</v>
      </c>
      <c r="F512" s="30">
        <f t="shared" si="22"/>
        <v>0</v>
      </c>
      <c r="G512" s="28">
        <f t="shared" si="23"/>
        <v>0</v>
      </c>
    </row>
    <row r="513" spans="1:7">
      <c r="A513" s="27">
        <v>508</v>
      </c>
      <c r="B513" s="28">
        <f>IF(A513&lt;=Analysis!$B$12,A513/Inputs!$B$15,0)</f>
        <v>0</v>
      </c>
      <c r="C513" s="29">
        <f>IF(A513&lt;=Analysis!$B$12,Analysis!$B$11+IF(A513=Analysis!$B$12,Analysis!$B$4,0),0)</f>
        <v>0</v>
      </c>
      <c r="D513" s="29">
        <f>IFERROR(IF(A513&lt;=Analysis!$B$12,1/POWER(1+Analysis!$B$18/Inputs!$B$15,A513),0),0)</f>
        <v>0</v>
      </c>
      <c r="E513" s="29">
        <f t="shared" si="21"/>
        <v>0</v>
      </c>
      <c r="F513" s="30">
        <f t="shared" si="22"/>
        <v>0</v>
      </c>
      <c r="G513" s="28">
        <f t="shared" si="23"/>
        <v>0</v>
      </c>
    </row>
    <row r="514" spans="1:7">
      <c r="A514" s="27">
        <v>509</v>
      </c>
      <c r="B514" s="28">
        <f>IF(A514&lt;=Analysis!$B$12,A514/Inputs!$B$15,0)</f>
        <v>0</v>
      </c>
      <c r="C514" s="29">
        <f>IF(A514&lt;=Analysis!$B$12,Analysis!$B$11+IF(A514=Analysis!$B$12,Analysis!$B$4,0),0)</f>
        <v>0</v>
      </c>
      <c r="D514" s="29">
        <f>IFERROR(IF(A514&lt;=Analysis!$B$12,1/POWER(1+Analysis!$B$18/Inputs!$B$15,A514),0),0)</f>
        <v>0</v>
      </c>
      <c r="E514" s="29">
        <f t="shared" si="21"/>
        <v>0</v>
      </c>
      <c r="F514" s="30">
        <f t="shared" si="22"/>
        <v>0</v>
      </c>
      <c r="G514" s="28">
        <f t="shared" si="23"/>
        <v>0</v>
      </c>
    </row>
    <row r="515" spans="1:7">
      <c r="A515" s="27">
        <v>510</v>
      </c>
      <c r="B515" s="28">
        <f>IF(A515&lt;=Analysis!$B$12,A515/Inputs!$B$15,0)</f>
        <v>0</v>
      </c>
      <c r="C515" s="29">
        <f>IF(A515&lt;=Analysis!$B$12,Analysis!$B$11+IF(A515=Analysis!$B$12,Analysis!$B$4,0),0)</f>
        <v>0</v>
      </c>
      <c r="D515" s="29">
        <f>IFERROR(IF(A515&lt;=Analysis!$B$12,1/POWER(1+Analysis!$B$18/Inputs!$B$15,A515),0),0)</f>
        <v>0</v>
      </c>
      <c r="E515" s="29">
        <f t="shared" si="21"/>
        <v>0</v>
      </c>
      <c r="F515" s="30">
        <f t="shared" si="22"/>
        <v>0</v>
      </c>
      <c r="G515" s="28">
        <f t="shared" si="23"/>
        <v>0</v>
      </c>
    </row>
    <row r="516" spans="1:7">
      <c r="A516" s="27">
        <v>511</v>
      </c>
      <c r="B516" s="28">
        <f>IF(A516&lt;=Analysis!$B$12,A516/Inputs!$B$15,0)</f>
        <v>0</v>
      </c>
      <c r="C516" s="29">
        <f>IF(A516&lt;=Analysis!$B$12,Analysis!$B$11+IF(A516=Analysis!$B$12,Analysis!$B$4,0),0)</f>
        <v>0</v>
      </c>
      <c r="D516" s="29">
        <f>IFERROR(IF(A516&lt;=Analysis!$B$12,1/POWER(1+Analysis!$B$18/Inputs!$B$15,A516),0),0)</f>
        <v>0</v>
      </c>
      <c r="E516" s="29">
        <f t="shared" si="21"/>
        <v>0</v>
      </c>
      <c r="F516" s="30">
        <f t="shared" si="22"/>
        <v>0</v>
      </c>
      <c r="G516" s="28">
        <f t="shared" si="23"/>
        <v>0</v>
      </c>
    </row>
    <row r="517" spans="1:7">
      <c r="A517" s="27">
        <v>512</v>
      </c>
      <c r="B517" s="28">
        <f>IF(A517&lt;=Analysis!$B$12,A517/Inputs!$B$15,0)</f>
        <v>0</v>
      </c>
      <c r="C517" s="29">
        <f>IF(A517&lt;=Analysis!$B$12,Analysis!$B$11+IF(A517=Analysis!$B$12,Analysis!$B$4,0),0)</f>
        <v>0</v>
      </c>
      <c r="D517" s="29">
        <f>IFERROR(IF(A517&lt;=Analysis!$B$12,1/POWER(1+Analysis!$B$18/Inputs!$B$15,A517),0),0)</f>
        <v>0</v>
      </c>
      <c r="E517" s="29">
        <f t="shared" si="21"/>
        <v>0</v>
      </c>
      <c r="F517" s="30">
        <f t="shared" si="22"/>
        <v>0</v>
      </c>
      <c r="G517" s="28">
        <f t="shared" si="23"/>
        <v>0</v>
      </c>
    </row>
    <row r="518" spans="1:7">
      <c r="A518" s="27">
        <v>513</v>
      </c>
      <c r="B518" s="28">
        <f>IF(A518&lt;=Analysis!$B$12,A518/Inputs!$B$15,0)</f>
        <v>0</v>
      </c>
      <c r="C518" s="29">
        <f>IF(A518&lt;=Analysis!$B$12,Analysis!$B$11+IF(A518=Analysis!$B$12,Analysis!$B$4,0),0)</f>
        <v>0</v>
      </c>
      <c r="D518" s="29">
        <f>IFERROR(IF(A518&lt;=Analysis!$B$12,1/POWER(1+Analysis!$B$18/Inputs!$B$15,A518),0),0)</f>
        <v>0</v>
      </c>
      <c r="E518" s="29">
        <f t="shared" ref="E518:E581" si="24">C518*D518</f>
        <v>0</v>
      </c>
      <c r="F518" s="30">
        <f t="shared" ref="F518:F581" si="25">IFERROR(E518/SUM($E$6:$E$605),0)</f>
        <v>0</v>
      </c>
      <c r="G518" s="28">
        <f t="shared" ref="G518:G581" si="26">B518*F518</f>
        <v>0</v>
      </c>
    </row>
    <row r="519" spans="1:7">
      <c r="A519" s="27">
        <v>514</v>
      </c>
      <c r="B519" s="28">
        <f>IF(A519&lt;=Analysis!$B$12,A519/Inputs!$B$15,0)</f>
        <v>0</v>
      </c>
      <c r="C519" s="29">
        <f>IF(A519&lt;=Analysis!$B$12,Analysis!$B$11+IF(A519=Analysis!$B$12,Analysis!$B$4,0),0)</f>
        <v>0</v>
      </c>
      <c r="D519" s="29">
        <f>IFERROR(IF(A519&lt;=Analysis!$B$12,1/POWER(1+Analysis!$B$18/Inputs!$B$15,A519),0),0)</f>
        <v>0</v>
      </c>
      <c r="E519" s="29">
        <f t="shared" si="24"/>
        <v>0</v>
      </c>
      <c r="F519" s="30">
        <f t="shared" si="25"/>
        <v>0</v>
      </c>
      <c r="G519" s="28">
        <f t="shared" si="26"/>
        <v>0</v>
      </c>
    </row>
    <row r="520" spans="1:7">
      <c r="A520" s="27">
        <v>515</v>
      </c>
      <c r="B520" s="28">
        <f>IF(A520&lt;=Analysis!$B$12,A520/Inputs!$B$15,0)</f>
        <v>0</v>
      </c>
      <c r="C520" s="29">
        <f>IF(A520&lt;=Analysis!$B$12,Analysis!$B$11+IF(A520=Analysis!$B$12,Analysis!$B$4,0),0)</f>
        <v>0</v>
      </c>
      <c r="D520" s="29">
        <f>IFERROR(IF(A520&lt;=Analysis!$B$12,1/POWER(1+Analysis!$B$18/Inputs!$B$15,A520),0),0)</f>
        <v>0</v>
      </c>
      <c r="E520" s="29">
        <f t="shared" si="24"/>
        <v>0</v>
      </c>
      <c r="F520" s="30">
        <f t="shared" si="25"/>
        <v>0</v>
      </c>
      <c r="G520" s="28">
        <f t="shared" si="26"/>
        <v>0</v>
      </c>
    </row>
    <row r="521" spans="1:7">
      <c r="A521" s="27">
        <v>516</v>
      </c>
      <c r="B521" s="28">
        <f>IF(A521&lt;=Analysis!$B$12,A521/Inputs!$B$15,0)</f>
        <v>0</v>
      </c>
      <c r="C521" s="29">
        <f>IF(A521&lt;=Analysis!$B$12,Analysis!$B$11+IF(A521=Analysis!$B$12,Analysis!$B$4,0),0)</f>
        <v>0</v>
      </c>
      <c r="D521" s="29">
        <f>IFERROR(IF(A521&lt;=Analysis!$B$12,1/POWER(1+Analysis!$B$18/Inputs!$B$15,A521),0),0)</f>
        <v>0</v>
      </c>
      <c r="E521" s="29">
        <f t="shared" si="24"/>
        <v>0</v>
      </c>
      <c r="F521" s="30">
        <f t="shared" si="25"/>
        <v>0</v>
      </c>
      <c r="G521" s="28">
        <f t="shared" si="26"/>
        <v>0</v>
      </c>
    </row>
    <row r="522" spans="1:7">
      <c r="A522" s="27">
        <v>517</v>
      </c>
      <c r="B522" s="28">
        <f>IF(A522&lt;=Analysis!$B$12,A522/Inputs!$B$15,0)</f>
        <v>0</v>
      </c>
      <c r="C522" s="29">
        <f>IF(A522&lt;=Analysis!$B$12,Analysis!$B$11+IF(A522=Analysis!$B$12,Analysis!$B$4,0),0)</f>
        <v>0</v>
      </c>
      <c r="D522" s="29">
        <f>IFERROR(IF(A522&lt;=Analysis!$B$12,1/POWER(1+Analysis!$B$18/Inputs!$B$15,A522),0),0)</f>
        <v>0</v>
      </c>
      <c r="E522" s="29">
        <f t="shared" si="24"/>
        <v>0</v>
      </c>
      <c r="F522" s="30">
        <f t="shared" si="25"/>
        <v>0</v>
      </c>
      <c r="G522" s="28">
        <f t="shared" si="26"/>
        <v>0</v>
      </c>
    </row>
    <row r="523" spans="1:7">
      <c r="A523" s="27">
        <v>518</v>
      </c>
      <c r="B523" s="28">
        <f>IF(A523&lt;=Analysis!$B$12,A523/Inputs!$B$15,0)</f>
        <v>0</v>
      </c>
      <c r="C523" s="29">
        <f>IF(A523&lt;=Analysis!$B$12,Analysis!$B$11+IF(A523=Analysis!$B$12,Analysis!$B$4,0),0)</f>
        <v>0</v>
      </c>
      <c r="D523" s="29">
        <f>IFERROR(IF(A523&lt;=Analysis!$B$12,1/POWER(1+Analysis!$B$18/Inputs!$B$15,A523),0),0)</f>
        <v>0</v>
      </c>
      <c r="E523" s="29">
        <f t="shared" si="24"/>
        <v>0</v>
      </c>
      <c r="F523" s="30">
        <f t="shared" si="25"/>
        <v>0</v>
      </c>
      <c r="G523" s="28">
        <f t="shared" si="26"/>
        <v>0</v>
      </c>
    </row>
    <row r="524" spans="1:7">
      <c r="A524" s="27">
        <v>519</v>
      </c>
      <c r="B524" s="28">
        <f>IF(A524&lt;=Analysis!$B$12,A524/Inputs!$B$15,0)</f>
        <v>0</v>
      </c>
      <c r="C524" s="29">
        <f>IF(A524&lt;=Analysis!$B$12,Analysis!$B$11+IF(A524=Analysis!$B$12,Analysis!$B$4,0),0)</f>
        <v>0</v>
      </c>
      <c r="D524" s="29">
        <f>IFERROR(IF(A524&lt;=Analysis!$B$12,1/POWER(1+Analysis!$B$18/Inputs!$B$15,A524),0),0)</f>
        <v>0</v>
      </c>
      <c r="E524" s="29">
        <f t="shared" si="24"/>
        <v>0</v>
      </c>
      <c r="F524" s="30">
        <f t="shared" si="25"/>
        <v>0</v>
      </c>
      <c r="G524" s="28">
        <f t="shared" si="26"/>
        <v>0</v>
      </c>
    </row>
    <row r="525" spans="1:7">
      <c r="A525" s="27">
        <v>520</v>
      </c>
      <c r="B525" s="28">
        <f>IF(A525&lt;=Analysis!$B$12,A525/Inputs!$B$15,0)</f>
        <v>0</v>
      </c>
      <c r="C525" s="29">
        <f>IF(A525&lt;=Analysis!$B$12,Analysis!$B$11+IF(A525=Analysis!$B$12,Analysis!$B$4,0),0)</f>
        <v>0</v>
      </c>
      <c r="D525" s="29">
        <f>IFERROR(IF(A525&lt;=Analysis!$B$12,1/POWER(1+Analysis!$B$18/Inputs!$B$15,A525),0),0)</f>
        <v>0</v>
      </c>
      <c r="E525" s="29">
        <f t="shared" si="24"/>
        <v>0</v>
      </c>
      <c r="F525" s="30">
        <f t="shared" si="25"/>
        <v>0</v>
      </c>
      <c r="G525" s="28">
        <f t="shared" si="26"/>
        <v>0</v>
      </c>
    </row>
    <row r="526" spans="1:7">
      <c r="A526" s="27">
        <v>521</v>
      </c>
      <c r="B526" s="28">
        <f>IF(A526&lt;=Analysis!$B$12,A526/Inputs!$B$15,0)</f>
        <v>0</v>
      </c>
      <c r="C526" s="29">
        <f>IF(A526&lt;=Analysis!$B$12,Analysis!$B$11+IF(A526=Analysis!$B$12,Analysis!$B$4,0),0)</f>
        <v>0</v>
      </c>
      <c r="D526" s="29">
        <f>IFERROR(IF(A526&lt;=Analysis!$B$12,1/POWER(1+Analysis!$B$18/Inputs!$B$15,A526),0),0)</f>
        <v>0</v>
      </c>
      <c r="E526" s="29">
        <f t="shared" si="24"/>
        <v>0</v>
      </c>
      <c r="F526" s="30">
        <f t="shared" si="25"/>
        <v>0</v>
      </c>
      <c r="G526" s="28">
        <f t="shared" si="26"/>
        <v>0</v>
      </c>
    </row>
    <row r="527" spans="1:7">
      <c r="A527" s="27">
        <v>522</v>
      </c>
      <c r="B527" s="28">
        <f>IF(A527&lt;=Analysis!$B$12,A527/Inputs!$B$15,0)</f>
        <v>0</v>
      </c>
      <c r="C527" s="29">
        <f>IF(A527&lt;=Analysis!$B$12,Analysis!$B$11+IF(A527=Analysis!$B$12,Analysis!$B$4,0),0)</f>
        <v>0</v>
      </c>
      <c r="D527" s="29">
        <f>IFERROR(IF(A527&lt;=Analysis!$B$12,1/POWER(1+Analysis!$B$18/Inputs!$B$15,A527),0),0)</f>
        <v>0</v>
      </c>
      <c r="E527" s="29">
        <f t="shared" si="24"/>
        <v>0</v>
      </c>
      <c r="F527" s="30">
        <f t="shared" si="25"/>
        <v>0</v>
      </c>
      <c r="G527" s="28">
        <f t="shared" si="26"/>
        <v>0</v>
      </c>
    </row>
    <row r="528" spans="1:7">
      <c r="A528" s="27">
        <v>523</v>
      </c>
      <c r="B528" s="28">
        <f>IF(A528&lt;=Analysis!$B$12,A528/Inputs!$B$15,0)</f>
        <v>0</v>
      </c>
      <c r="C528" s="29">
        <f>IF(A528&lt;=Analysis!$B$12,Analysis!$B$11+IF(A528=Analysis!$B$12,Analysis!$B$4,0),0)</f>
        <v>0</v>
      </c>
      <c r="D528" s="29">
        <f>IFERROR(IF(A528&lt;=Analysis!$B$12,1/POWER(1+Analysis!$B$18/Inputs!$B$15,A528),0),0)</f>
        <v>0</v>
      </c>
      <c r="E528" s="29">
        <f t="shared" si="24"/>
        <v>0</v>
      </c>
      <c r="F528" s="30">
        <f t="shared" si="25"/>
        <v>0</v>
      </c>
      <c r="G528" s="28">
        <f t="shared" si="26"/>
        <v>0</v>
      </c>
    </row>
    <row r="529" spans="1:7">
      <c r="A529" s="27">
        <v>524</v>
      </c>
      <c r="B529" s="28">
        <f>IF(A529&lt;=Analysis!$B$12,A529/Inputs!$B$15,0)</f>
        <v>0</v>
      </c>
      <c r="C529" s="29">
        <f>IF(A529&lt;=Analysis!$B$12,Analysis!$B$11+IF(A529=Analysis!$B$12,Analysis!$B$4,0),0)</f>
        <v>0</v>
      </c>
      <c r="D529" s="29">
        <f>IFERROR(IF(A529&lt;=Analysis!$B$12,1/POWER(1+Analysis!$B$18/Inputs!$B$15,A529),0),0)</f>
        <v>0</v>
      </c>
      <c r="E529" s="29">
        <f t="shared" si="24"/>
        <v>0</v>
      </c>
      <c r="F529" s="30">
        <f t="shared" si="25"/>
        <v>0</v>
      </c>
      <c r="G529" s="28">
        <f t="shared" si="26"/>
        <v>0</v>
      </c>
    </row>
    <row r="530" spans="1:7">
      <c r="A530" s="27">
        <v>525</v>
      </c>
      <c r="B530" s="28">
        <f>IF(A530&lt;=Analysis!$B$12,A530/Inputs!$B$15,0)</f>
        <v>0</v>
      </c>
      <c r="C530" s="29">
        <f>IF(A530&lt;=Analysis!$B$12,Analysis!$B$11+IF(A530=Analysis!$B$12,Analysis!$B$4,0),0)</f>
        <v>0</v>
      </c>
      <c r="D530" s="29">
        <f>IFERROR(IF(A530&lt;=Analysis!$B$12,1/POWER(1+Analysis!$B$18/Inputs!$B$15,A530),0),0)</f>
        <v>0</v>
      </c>
      <c r="E530" s="29">
        <f t="shared" si="24"/>
        <v>0</v>
      </c>
      <c r="F530" s="30">
        <f t="shared" si="25"/>
        <v>0</v>
      </c>
      <c r="G530" s="28">
        <f t="shared" si="26"/>
        <v>0</v>
      </c>
    </row>
    <row r="531" spans="1:7">
      <c r="A531" s="27">
        <v>526</v>
      </c>
      <c r="B531" s="28">
        <f>IF(A531&lt;=Analysis!$B$12,A531/Inputs!$B$15,0)</f>
        <v>0</v>
      </c>
      <c r="C531" s="29">
        <f>IF(A531&lt;=Analysis!$B$12,Analysis!$B$11+IF(A531=Analysis!$B$12,Analysis!$B$4,0),0)</f>
        <v>0</v>
      </c>
      <c r="D531" s="29">
        <f>IFERROR(IF(A531&lt;=Analysis!$B$12,1/POWER(1+Analysis!$B$18/Inputs!$B$15,A531),0),0)</f>
        <v>0</v>
      </c>
      <c r="E531" s="29">
        <f t="shared" si="24"/>
        <v>0</v>
      </c>
      <c r="F531" s="30">
        <f t="shared" si="25"/>
        <v>0</v>
      </c>
      <c r="G531" s="28">
        <f t="shared" si="26"/>
        <v>0</v>
      </c>
    </row>
    <row r="532" spans="1:7">
      <c r="A532" s="27">
        <v>527</v>
      </c>
      <c r="B532" s="28">
        <f>IF(A532&lt;=Analysis!$B$12,A532/Inputs!$B$15,0)</f>
        <v>0</v>
      </c>
      <c r="C532" s="29">
        <f>IF(A532&lt;=Analysis!$B$12,Analysis!$B$11+IF(A532=Analysis!$B$12,Analysis!$B$4,0),0)</f>
        <v>0</v>
      </c>
      <c r="D532" s="29">
        <f>IFERROR(IF(A532&lt;=Analysis!$B$12,1/POWER(1+Analysis!$B$18/Inputs!$B$15,A532),0),0)</f>
        <v>0</v>
      </c>
      <c r="E532" s="29">
        <f t="shared" si="24"/>
        <v>0</v>
      </c>
      <c r="F532" s="30">
        <f t="shared" si="25"/>
        <v>0</v>
      </c>
      <c r="G532" s="28">
        <f t="shared" si="26"/>
        <v>0</v>
      </c>
    </row>
    <row r="533" spans="1:7">
      <c r="A533" s="27">
        <v>528</v>
      </c>
      <c r="B533" s="28">
        <f>IF(A533&lt;=Analysis!$B$12,A533/Inputs!$B$15,0)</f>
        <v>0</v>
      </c>
      <c r="C533" s="29">
        <f>IF(A533&lt;=Analysis!$B$12,Analysis!$B$11+IF(A533=Analysis!$B$12,Analysis!$B$4,0),0)</f>
        <v>0</v>
      </c>
      <c r="D533" s="29">
        <f>IFERROR(IF(A533&lt;=Analysis!$B$12,1/POWER(1+Analysis!$B$18/Inputs!$B$15,A533),0),0)</f>
        <v>0</v>
      </c>
      <c r="E533" s="29">
        <f t="shared" si="24"/>
        <v>0</v>
      </c>
      <c r="F533" s="30">
        <f t="shared" si="25"/>
        <v>0</v>
      </c>
      <c r="G533" s="28">
        <f t="shared" si="26"/>
        <v>0</v>
      </c>
    </row>
    <row r="534" spans="1:7">
      <c r="A534" s="27">
        <v>529</v>
      </c>
      <c r="B534" s="28">
        <f>IF(A534&lt;=Analysis!$B$12,A534/Inputs!$B$15,0)</f>
        <v>0</v>
      </c>
      <c r="C534" s="29">
        <f>IF(A534&lt;=Analysis!$B$12,Analysis!$B$11+IF(A534=Analysis!$B$12,Analysis!$B$4,0),0)</f>
        <v>0</v>
      </c>
      <c r="D534" s="29">
        <f>IFERROR(IF(A534&lt;=Analysis!$B$12,1/POWER(1+Analysis!$B$18/Inputs!$B$15,A534),0),0)</f>
        <v>0</v>
      </c>
      <c r="E534" s="29">
        <f t="shared" si="24"/>
        <v>0</v>
      </c>
      <c r="F534" s="30">
        <f t="shared" si="25"/>
        <v>0</v>
      </c>
      <c r="G534" s="28">
        <f t="shared" si="26"/>
        <v>0</v>
      </c>
    </row>
    <row r="535" spans="1:7">
      <c r="A535" s="27">
        <v>530</v>
      </c>
      <c r="B535" s="28">
        <f>IF(A535&lt;=Analysis!$B$12,A535/Inputs!$B$15,0)</f>
        <v>0</v>
      </c>
      <c r="C535" s="29">
        <f>IF(A535&lt;=Analysis!$B$12,Analysis!$B$11+IF(A535=Analysis!$B$12,Analysis!$B$4,0),0)</f>
        <v>0</v>
      </c>
      <c r="D535" s="29">
        <f>IFERROR(IF(A535&lt;=Analysis!$B$12,1/POWER(1+Analysis!$B$18/Inputs!$B$15,A535),0),0)</f>
        <v>0</v>
      </c>
      <c r="E535" s="29">
        <f t="shared" si="24"/>
        <v>0</v>
      </c>
      <c r="F535" s="30">
        <f t="shared" si="25"/>
        <v>0</v>
      </c>
      <c r="G535" s="28">
        <f t="shared" si="26"/>
        <v>0</v>
      </c>
    </row>
    <row r="536" spans="1:7">
      <c r="A536" s="27">
        <v>531</v>
      </c>
      <c r="B536" s="28">
        <f>IF(A536&lt;=Analysis!$B$12,A536/Inputs!$B$15,0)</f>
        <v>0</v>
      </c>
      <c r="C536" s="29">
        <f>IF(A536&lt;=Analysis!$B$12,Analysis!$B$11+IF(A536=Analysis!$B$12,Analysis!$B$4,0),0)</f>
        <v>0</v>
      </c>
      <c r="D536" s="29">
        <f>IFERROR(IF(A536&lt;=Analysis!$B$12,1/POWER(1+Analysis!$B$18/Inputs!$B$15,A536),0),0)</f>
        <v>0</v>
      </c>
      <c r="E536" s="29">
        <f t="shared" si="24"/>
        <v>0</v>
      </c>
      <c r="F536" s="30">
        <f t="shared" si="25"/>
        <v>0</v>
      </c>
      <c r="G536" s="28">
        <f t="shared" si="26"/>
        <v>0</v>
      </c>
    </row>
    <row r="537" spans="1:7">
      <c r="A537" s="27">
        <v>532</v>
      </c>
      <c r="B537" s="28">
        <f>IF(A537&lt;=Analysis!$B$12,A537/Inputs!$B$15,0)</f>
        <v>0</v>
      </c>
      <c r="C537" s="29">
        <f>IF(A537&lt;=Analysis!$B$12,Analysis!$B$11+IF(A537=Analysis!$B$12,Analysis!$B$4,0),0)</f>
        <v>0</v>
      </c>
      <c r="D537" s="29">
        <f>IFERROR(IF(A537&lt;=Analysis!$B$12,1/POWER(1+Analysis!$B$18/Inputs!$B$15,A537),0),0)</f>
        <v>0</v>
      </c>
      <c r="E537" s="29">
        <f t="shared" si="24"/>
        <v>0</v>
      </c>
      <c r="F537" s="30">
        <f t="shared" si="25"/>
        <v>0</v>
      </c>
      <c r="G537" s="28">
        <f t="shared" si="26"/>
        <v>0</v>
      </c>
    </row>
    <row r="538" spans="1:7">
      <c r="A538" s="27">
        <v>533</v>
      </c>
      <c r="B538" s="28">
        <f>IF(A538&lt;=Analysis!$B$12,A538/Inputs!$B$15,0)</f>
        <v>0</v>
      </c>
      <c r="C538" s="29">
        <f>IF(A538&lt;=Analysis!$B$12,Analysis!$B$11+IF(A538=Analysis!$B$12,Analysis!$B$4,0),0)</f>
        <v>0</v>
      </c>
      <c r="D538" s="29">
        <f>IFERROR(IF(A538&lt;=Analysis!$B$12,1/POWER(1+Analysis!$B$18/Inputs!$B$15,A538),0),0)</f>
        <v>0</v>
      </c>
      <c r="E538" s="29">
        <f t="shared" si="24"/>
        <v>0</v>
      </c>
      <c r="F538" s="30">
        <f t="shared" si="25"/>
        <v>0</v>
      </c>
      <c r="G538" s="28">
        <f t="shared" si="26"/>
        <v>0</v>
      </c>
    </row>
    <row r="539" spans="1:7">
      <c r="A539" s="27">
        <v>534</v>
      </c>
      <c r="B539" s="28">
        <f>IF(A539&lt;=Analysis!$B$12,A539/Inputs!$B$15,0)</f>
        <v>0</v>
      </c>
      <c r="C539" s="29">
        <f>IF(A539&lt;=Analysis!$B$12,Analysis!$B$11+IF(A539=Analysis!$B$12,Analysis!$B$4,0),0)</f>
        <v>0</v>
      </c>
      <c r="D539" s="29">
        <f>IFERROR(IF(A539&lt;=Analysis!$B$12,1/POWER(1+Analysis!$B$18/Inputs!$B$15,A539),0),0)</f>
        <v>0</v>
      </c>
      <c r="E539" s="29">
        <f t="shared" si="24"/>
        <v>0</v>
      </c>
      <c r="F539" s="30">
        <f t="shared" si="25"/>
        <v>0</v>
      </c>
      <c r="G539" s="28">
        <f t="shared" si="26"/>
        <v>0</v>
      </c>
    </row>
    <row r="540" spans="1:7">
      <c r="A540" s="27">
        <v>535</v>
      </c>
      <c r="B540" s="28">
        <f>IF(A540&lt;=Analysis!$B$12,A540/Inputs!$B$15,0)</f>
        <v>0</v>
      </c>
      <c r="C540" s="29">
        <f>IF(A540&lt;=Analysis!$B$12,Analysis!$B$11+IF(A540=Analysis!$B$12,Analysis!$B$4,0),0)</f>
        <v>0</v>
      </c>
      <c r="D540" s="29">
        <f>IFERROR(IF(A540&lt;=Analysis!$B$12,1/POWER(1+Analysis!$B$18/Inputs!$B$15,A540),0),0)</f>
        <v>0</v>
      </c>
      <c r="E540" s="29">
        <f t="shared" si="24"/>
        <v>0</v>
      </c>
      <c r="F540" s="30">
        <f t="shared" si="25"/>
        <v>0</v>
      </c>
      <c r="G540" s="28">
        <f t="shared" si="26"/>
        <v>0</v>
      </c>
    </row>
    <row r="541" spans="1:7">
      <c r="A541" s="27">
        <v>536</v>
      </c>
      <c r="B541" s="28">
        <f>IF(A541&lt;=Analysis!$B$12,A541/Inputs!$B$15,0)</f>
        <v>0</v>
      </c>
      <c r="C541" s="29">
        <f>IF(A541&lt;=Analysis!$B$12,Analysis!$B$11+IF(A541=Analysis!$B$12,Analysis!$B$4,0),0)</f>
        <v>0</v>
      </c>
      <c r="D541" s="29">
        <f>IFERROR(IF(A541&lt;=Analysis!$B$12,1/POWER(1+Analysis!$B$18/Inputs!$B$15,A541),0),0)</f>
        <v>0</v>
      </c>
      <c r="E541" s="29">
        <f t="shared" si="24"/>
        <v>0</v>
      </c>
      <c r="F541" s="30">
        <f t="shared" si="25"/>
        <v>0</v>
      </c>
      <c r="G541" s="28">
        <f t="shared" si="26"/>
        <v>0</v>
      </c>
    </row>
    <row r="542" spans="1:7">
      <c r="A542" s="27">
        <v>537</v>
      </c>
      <c r="B542" s="28">
        <f>IF(A542&lt;=Analysis!$B$12,A542/Inputs!$B$15,0)</f>
        <v>0</v>
      </c>
      <c r="C542" s="29">
        <f>IF(A542&lt;=Analysis!$B$12,Analysis!$B$11+IF(A542=Analysis!$B$12,Analysis!$B$4,0),0)</f>
        <v>0</v>
      </c>
      <c r="D542" s="29">
        <f>IFERROR(IF(A542&lt;=Analysis!$B$12,1/POWER(1+Analysis!$B$18/Inputs!$B$15,A542),0),0)</f>
        <v>0</v>
      </c>
      <c r="E542" s="29">
        <f t="shared" si="24"/>
        <v>0</v>
      </c>
      <c r="F542" s="30">
        <f t="shared" si="25"/>
        <v>0</v>
      </c>
      <c r="G542" s="28">
        <f t="shared" si="26"/>
        <v>0</v>
      </c>
    </row>
    <row r="543" spans="1:7">
      <c r="A543" s="27">
        <v>538</v>
      </c>
      <c r="B543" s="28">
        <f>IF(A543&lt;=Analysis!$B$12,A543/Inputs!$B$15,0)</f>
        <v>0</v>
      </c>
      <c r="C543" s="29">
        <f>IF(A543&lt;=Analysis!$B$12,Analysis!$B$11+IF(A543=Analysis!$B$12,Analysis!$B$4,0),0)</f>
        <v>0</v>
      </c>
      <c r="D543" s="29">
        <f>IFERROR(IF(A543&lt;=Analysis!$B$12,1/POWER(1+Analysis!$B$18/Inputs!$B$15,A543),0),0)</f>
        <v>0</v>
      </c>
      <c r="E543" s="29">
        <f t="shared" si="24"/>
        <v>0</v>
      </c>
      <c r="F543" s="30">
        <f t="shared" si="25"/>
        <v>0</v>
      </c>
      <c r="G543" s="28">
        <f t="shared" si="26"/>
        <v>0</v>
      </c>
    </row>
    <row r="544" spans="1:7">
      <c r="A544" s="27">
        <v>539</v>
      </c>
      <c r="B544" s="28">
        <f>IF(A544&lt;=Analysis!$B$12,A544/Inputs!$B$15,0)</f>
        <v>0</v>
      </c>
      <c r="C544" s="29">
        <f>IF(A544&lt;=Analysis!$B$12,Analysis!$B$11+IF(A544=Analysis!$B$12,Analysis!$B$4,0),0)</f>
        <v>0</v>
      </c>
      <c r="D544" s="29">
        <f>IFERROR(IF(A544&lt;=Analysis!$B$12,1/POWER(1+Analysis!$B$18/Inputs!$B$15,A544),0),0)</f>
        <v>0</v>
      </c>
      <c r="E544" s="29">
        <f t="shared" si="24"/>
        <v>0</v>
      </c>
      <c r="F544" s="30">
        <f t="shared" si="25"/>
        <v>0</v>
      </c>
      <c r="G544" s="28">
        <f t="shared" si="26"/>
        <v>0</v>
      </c>
    </row>
    <row r="545" spans="1:7">
      <c r="A545" s="27">
        <v>540</v>
      </c>
      <c r="B545" s="28">
        <f>IF(A545&lt;=Analysis!$B$12,A545/Inputs!$B$15,0)</f>
        <v>0</v>
      </c>
      <c r="C545" s="29">
        <f>IF(A545&lt;=Analysis!$B$12,Analysis!$B$11+IF(A545=Analysis!$B$12,Analysis!$B$4,0),0)</f>
        <v>0</v>
      </c>
      <c r="D545" s="29">
        <f>IFERROR(IF(A545&lt;=Analysis!$B$12,1/POWER(1+Analysis!$B$18/Inputs!$B$15,A545),0),0)</f>
        <v>0</v>
      </c>
      <c r="E545" s="29">
        <f t="shared" si="24"/>
        <v>0</v>
      </c>
      <c r="F545" s="30">
        <f t="shared" si="25"/>
        <v>0</v>
      </c>
      <c r="G545" s="28">
        <f t="shared" si="26"/>
        <v>0</v>
      </c>
    </row>
    <row r="546" spans="1:7">
      <c r="A546" s="27">
        <v>541</v>
      </c>
      <c r="B546" s="28">
        <f>IF(A546&lt;=Analysis!$B$12,A546/Inputs!$B$15,0)</f>
        <v>0</v>
      </c>
      <c r="C546" s="29">
        <f>IF(A546&lt;=Analysis!$B$12,Analysis!$B$11+IF(A546=Analysis!$B$12,Analysis!$B$4,0),0)</f>
        <v>0</v>
      </c>
      <c r="D546" s="29">
        <f>IFERROR(IF(A546&lt;=Analysis!$B$12,1/POWER(1+Analysis!$B$18/Inputs!$B$15,A546),0),0)</f>
        <v>0</v>
      </c>
      <c r="E546" s="29">
        <f t="shared" si="24"/>
        <v>0</v>
      </c>
      <c r="F546" s="30">
        <f t="shared" si="25"/>
        <v>0</v>
      </c>
      <c r="G546" s="28">
        <f t="shared" si="26"/>
        <v>0</v>
      </c>
    </row>
    <row r="547" spans="1:7">
      <c r="A547" s="27">
        <v>542</v>
      </c>
      <c r="B547" s="28">
        <f>IF(A547&lt;=Analysis!$B$12,A547/Inputs!$B$15,0)</f>
        <v>0</v>
      </c>
      <c r="C547" s="29">
        <f>IF(A547&lt;=Analysis!$B$12,Analysis!$B$11+IF(A547=Analysis!$B$12,Analysis!$B$4,0),0)</f>
        <v>0</v>
      </c>
      <c r="D547" s="29">
        <f>IFERROR(IF(A547&lt;=Analysis!$B$12,1/POWER(1+Analysis!$B$18/Inputs!$B$15,A547),0),0)</f>
        <v>0</v>
      </c>
      <c r="E547" s="29">
        <f t="shared" si="24"/>
        <v>0</v>
      </c>
      <c r="F547" s="30">
        <f t="shared" si="25"/>
        <v>0</v>
      </c>
      <c r="G547" s="28">
        <f t="shared" si="26"/>
        <v>0</v>
      </c>
    </row>
    <row r="548" spans="1:7">
      <c r="A548" s="27">
        <v>543</v>
      </c>
      <c r="B548" s="28">
        <f>IF(A548&lt;=Analysis!$B$12,A548/Inputs!$B$15,0)</f>
        <v>0</v>
      </c>
      <c r="C548" s="29">
        <f>IF(A548&lt;=Analysis!$B$12,Analysis!$B$11+IF(A548=Analysis!$B$12,Analysis!$B$4,0),0)</f>
        <v>0</v>
      </c>
      <c r="D548" s="29">
        <f>IFERROR(IF(A548&lt;=Analysis!$B$12,1/POWER(1+Analysis!$B$18/Inputs!$B$15,A548),0),0)</f>
        <v>0</v>
      </c>
      <c r="E548" s="29">
        <f t="shared" si="24"/>
        <v>0</v>
      </c>
      <c r="F548" s="30">
        <f t="shared" si="25"/>
        <v>0</v>
      </c>
      <c r="G548" s="28">
        <f t="shared" si="26"/>
        <v>0</v>
      </c>
    </row>
    <row r="549" spans="1:7">
      <c r="A549" s="27">
        <v>544</v>
      </c>
      <c r="B549" s="28">
        <f>IF(A549&lt;=Analysis!$B$12,A549/Inputs!$B$15,0)</f>
        <v>0</v>
      </c>
      <c r="C549" s="29">
        <f>IF(A549&lt;=Analysis!$B$12,Analysis!$B$11+IF(A549=Analysis!$B$12,Analysis!$B$4,0),0)</f>
        <v>0</v>
      </c>
      <c r="D549" s="29">
        <f>IFERROR(IF(A549&lt;=Analysis!$B$12,1/POWER(1+Analysis!$B$18/Inputs!$B$15,A549),0),0)</f>
        <v>0</v>
      </c>
      <c r="E549" s="29">
        <f t="shared" si="24"/>
        <v>0</v>
      </c>
      <c r="F549" s="30">
        <f t="shared" si="25"/>
        <v>0</v>
      </c>
      <c r="G549" s="28">
        <f t="shared" si="26"/>
        <v>0</v>
      </c>
    </row>
    <row r="550" spans="1:7">
      <c r="A550" s="27">
        <v>545</v>
      </c>
      <c r="B550" s="28">
        <f>IF(A550&lt;=Analysis!$B$12,A550/Inputs!$B$15,0)</f>
        <v>0</v>
      </c>
      <c r="C550" s="29">
        <f>IF(A550&lt;=Analysis!$B$12,Analysis!$B$11+IF(A550=Analysis!$B$12,Analysis!$B$4,0),0)</f>
        <v>0</v>
      </c>
      <c r="D550" s="29">
        <f>IFERROR(IF(A550&lt;=Analysis!$B$12,1/POWER(1+Analysis!$B$18/Inputs!$B$15,A550),0),0)</f>
        <v>0</v>
      </c>
      <c r="E550" s="29">
        <f t="shared" si="24"/>
        <v>0</v>
      </c>
      <c r="F550" s="30">
        <f t="shared" si="25"/>
        <v>0</v>
      </c>
      <c r="G550" s="28">
        <f t="shared" si="26"/>
        <v>0</v>
      </c>
    </row>
    <row r="551" spans="1:7">
      <c r="A551" s="27">
        <v>546</v>
      </c>
      <c r="B551" s="28">
        <f>IF(A551&lt;=Analysis!$B$12,A551/Inputs!$B$15,0)</f>
        <v>0</v>
      </c>
      <c r="C551" s="29">
        <f>IF(A551&lt;=Analysis!$B$12,Analysis!$B$11+IF(A551=Analysis!$B$12,Analysis!$B$4,0),0)</f>
        <v>0</v>
      </c>
      <c r="D551" s="29">
        <f>IFERROR(IF(A551&lt;=Analysis!$B$12,1/POWER(1+Analysis!$B$18/Inputs!$B$15,A551),0),0)</f>
        <v>0</v>
      </c>
      <c r="E551" s="29">
        <f t="shared" si="24"/>
        <v>0</v>
      </c>
      <c r="F551" s="30">
        <f t="shared" si="25"/>
        <v>0</v>
      </c>
      <c r="G551" s="28">
        <f t="shared" si="26"/>
        <v>0</v>
      </c>
    </row>
    <row r="552" spans="1:7">
      <c r="A552" s="27">
        <v>547</v>
      </c>
      <c r="B552" s="28">
        <f>IF(A552&lt;=Analysis!$B$12,A552/Inputs!$B$15,0)</f>
        <v>0</v>
      </c>
      <c r="C552" s="29">
        <f>IF(A552&lt;=Analysis!$B$12,Analysis!$B$11+IF(A552=Analysis!$B$12,Analysis!$B$4,0),0)</f>
        <v>0</v>
      </c>
      <c r="D552" s="29">
        <f>IFERROR(IF(A552&lt;=Analysis!$B$12,1/POWER(1+Analysis!$B$18/Inputs!$B$15,A552),0),0)</f>
        <v>0</v>
      </c>
      <c r="E552" s="29">
        <f t="shared" si="24"/>
        <v>0</v>
      </c>
      <c r="F552" s="30">
        <f t="shared" si="25"/>
        <v>0</v>
      </c>
      <c r="G552" s="28">
        <f t="shared" si="26"/>
        <v>0</v>
      </c>
    </row>
    <row r="553" spans="1:7">
      <c r="A553" s="27">
        <v>548</v>
      </c>
      <c r="B553" s="28">
        <f>IF(A553&lt;=Analysis!$B$12,A553/Inputs!$B$15,0)</f>
        <v>0</v>
      </c>
      <c r="C553" s="29">
        <f>IF(A553&lt;=Analysis!$B$12,Analysis!$B$11+IF(A553=Analysis!$B$12,Analysis!$B$4,0),0)</f>
        <v>0</v>
      </c>
      <c r="D553" s="29">
        <f>IFERROR(IF(A553&lt;=Analysis!$B$12,1/POWER(1+Analysis!$B$18/Inputs!$B$15,A553),0),0)</f>
        <v>0</v>
      </c>
      <c r="E553" s="29">
        <f t="shared" si="24"/>
        <v>0</v>
      </c>
      <c r="F553" s="30">
        <f t="shared" si="25"/>
        <v>0</v>
      </c>
      <c r="G553" s="28">
        <f t="shared" si="26"/>
        <v>0</v>
      </c>
    </row>
    <row r="554" spans="1:7">
      <c r="A554" s="27">
        <v>549</v>
      </c>
      <c r="B554" s="28">
        <f>IF(A554&lt;=Analysis!$B$12,A554/Inputs!$B$15,0)</f>
        <v>0</v>
      </c>
      <c r="C554" s="29">
        <f>IF(A554&lt;=Analysis!$B$12,Analysis!$B$11+IF(A554=Analysis!$B$12,Analysis!$B$4,0),0)</f>
        <v>0</v>
      </c>
      <c r="D554" s="29">
        <f>IFERROR(IF(A554&lt;=Analysis!$B$12,1/POWER(1+Analysis!$B$18/Inputs!$B$15,A554),0),0)</f>
        <v>0</v>
      </c>
      <c r="E554" s="29">
        <f t="shared" si="24"/>
        <v>0</v>
      </c>
      <c r="F554" s="30">
        <f t="shared" si="25"/>
        <v>0</v>
      </c>
      <c r="G554" s="28">
        <f t="shared" si="26"/>
        <v>0</v>
      </c>
    </row>
    <row r="555" spans="1:7">
      <c r="A555" s="27">
        <v>550</v>
      </c>
      <c r="B555" s="28">
        <f>IF(A555&lt;=Analysis!$B$12,A555/Inputs!$B$15,0)</f>
        <v>0</v>
      </c>
      <c r="C555" s="29">
        <f>IF(A555&lt;=Analysis!$B$12,Analysis!$B$11+IF(A555=Analysis!$B$12,Analysis!$B$4,0),0)</f>
        <v>0</v>
      </c>
      <c r="D555" s="29">
        <f>IFERROR(IF(A555&lt;=Analysis!$B$12,1/POWER(1+Analysis!$B$18/Inputs!$B$15,A555),0),0)</f>
        <v>0</v>
      </c>
      <c r="E555" s="29">
        <f t="shared" si="24"/>
        <v>0</v>
      </c>
      <c r="F555" s="30">
        <f t="shared" si="25"/>
        <v>0</v>
      </c>
      <c r="G555" s="28">
        <f t="shared" si="26"/>
        <v>0</v>
      </c>
    </row>
    <row r="556" spans="1:7">
      <c r="A556" s="27">
        <v>551</v>
      </c>
      <c r="B556" s="28">
        <f>IF(A556&lt;=Analysis!$B$12,A556/Inputs!$B$15,0)</f>
        <v>0</v>
      </c>
      <c r="C556" s="29">
        <f>IF(A556&lt;=Analysis!$B$12,Analysis!$B$11+IF(A556=Analysis!$B$12,Analysis!$B$4,0),0)</f>
        <v>0</v>
      </c>
      <c r="D556" s="29">
        <f>IFERROR(IF(A556&lt;=Analysis!$B$12,1/POWER(1+Analysis!$B$18/Inputs!$B$15,A556),0),0)</f>
        <v>0</v>
      </c>
      <c r="E556" s="29">
        <f t="shared" si="24"/>
        <v>0</v>
      </c>
      <c r="F556" s="30">
        <f t="shared" si="25"/>
        <v>0</v>
      </c>
      <c r="G556" s="28">
        <f t="shared" si="26"/>
        <v>0</v>
      </c>
    </row>
    <row r="557" spans="1:7">
      <c r="A557" s="27">
        <v>552</v>
      </c>
      <c r="B557" s="28">
        <f>IF(A557&lt;=Analysis!$B$12,A557/Inputs!$B$15,0)</f>
        <v>0</v>
      </c>
      <c r="C557" s="29">
        <f>IF(A557&lt;=Analysis!$B$12,Analysis!$B$11+IF(A557=Analysis!$B$12,Analysis!$B$4,0),0)</f>
        <v>0</v>
      </c>
      <c r="D557" s="29">
        <f>IFERROR(IF(A557&lt;=Analysis!$B$12,1/POWER(1+Analysis!$B$18/Inputs!$B$15,A557),0),0)</f>
        <v>0</v>
      </c>
      <c r="E557" s="29">
        <f t="shared" si="24"/>
        <v>0</v>
      </c>
      <c r="F557" s="30">
        <f t="shared" si="25"/>
        <v>0</v>
      </c>
      <c r="G557" s="28">
        <f t="shared" si="26"/>
        <v>0</v>
      </c>
    </row>
    <row r="558" spans="1:7">
      <c r="A558" s="27">
        <v>553</v>
      </c>
      <c r="B558" s="28">
        <f>IF(A558&lt;=Analysis!$B$12,A558/Inputs!$B$15,0)</f>
        <v>0</v>
      </c>
      <c r="C558" s="29">
        <f>IF(A558&lt;=Analysis!$B$12,Analysis!$B$11+IF(A558=Analysis!$B$12,Analysis!$B$4,0),0)</f>
        <v>0</v>
      </c>
      <c r="D558" s="29">
        <f>IFERROR(IF(A558&lt;=Analysis!$B$12,1/POWER(1+Analysis!$B$18/Inputs!$B$15,A558),0),0)</f>
        <v>0</v>
      </c>
      <c r="E558" s="29">
        <f t="shared" si="24"/>
        <v>0</v>
      </c>
      <c r="F558" s="30">
        <f t="shared" si="25"/>
        <v>0</v>
      </c>
      <c r="G558" s="28">
        <f t="shared" si="26"/>
        <v>0</v>
      </c>
    </row>
    <row r="559" spans="1:7">
      <c r="A559" s="27">
        <v>554</v>
      </c>
      <c r="B559" s="28">
        <f>IF(A559&lt;=Analysis!$B$12,A559/Inputs!$B$15,0)</f>
        <v>0</v>
      </c>
      <c r="C559" s="29">
        <f>IF(A559&lt;=Analysis!$B$12,Analysis!$B$11+IF(A559=Analysis!$B$12,Analysis!$B$4,0),0)</f>
        <v>0</v>
      </c>
      <c r="D559" s="29">
        <f>IFERROR(IF(A559&lt;=Analysis!$B$12,1/POWER(1+Analysis!$B$18/Inputs!$B$15,A559),0),0)</f>
        <v>0</v>
      </c>
      <c r="E559" s="29">
        <f t="shared" si="24"/>
        <v>0</v>
      </c>
      <c r="F559" s="30">
        <f t="shared" si="25"/>
        <v>0</v>
      </c>
      <c r="G559" s="28">
        <f t="shared" si="26"/>
        <v>0</v>
      </c>
    </row>
    <row r="560" spans="1:7">
      <c r="A560" s="27">
        <v>555</v>
      </c>
      <c r="B560" s="28">
        <f>IF(A560&lt;=Analysis!$B$12,A560/Inputs!$B$15,0)</f>
        <v>0</v>
      </c>
      <c r="C560" s="29">
        <f>IF(A560&lt;=Analysis!$B$12,Analysis!$B$11+IF(A560=Analysis!$B$12,Analysis!$B$4,0),0)</f>
        <v>0</v>
      </c>
      <c r="D560" s="29">
        <f>IFERROR(IF(A560&lt;=Analysis!$B$12,1/POWER(1+Analysis!$B$18/Inputs!$B$15,A560),0),0)</f>
        <v>0</v>
      </c>
      <c r="E560" s="29">
        <f t="shared" si="24"/>
        <v>0</v>
      </c>
      <c r="F560" s="30">
        <f t="shared" si="25"/>
        <v>0</v>
      </c>
      <c r="G560" s="28">
        <f t="shared" si="26"/>
        <v>0</v>
      </c>
    </row>
    <row r="561" spans="1:7">
      <c r="A561" s="27">
        <v>556</v>
      </c>
      <c r="B561" s="28">
        <f>IF(A561&lt;=Analysis!$B$12,A561/Inputs!$B$15,0)</f>
        <v>0</v>
      </c>
      <c r="C561" s="29">
        <f>IF(A561&lt;=Analysis!$B$12,Analysis!$B$11+IF(A561=Analysis!$B$12,Analysis!$B$4,0),0)</f>
        <v>0</v>
      </c>
      <c r="D561" s="29">
        <f>IFERROR(IF(A561&lt;=Analysis!$B$12,1/POWER(1+Analysis!$B$18/Inputs!$B$15,A561),0),0)</f>
        <v>0</v>
      </c>
      <c r="E561" s="29">
        <f t="shared" si="24"/>
        <v>0</v>
      </c>
      <c r="F561" s="30">
        <f t="shared" si="25"/>
        <v>0</v>
      </c>
      <c r="G561" s="28">
        <f t="shared" si="26"/>
        <v>0</v>
      </c>
    </row>
    <row r="562" spans="1:7">
      <c r="A562" s="27">
        <v>557</v>
      </c>
      <c r="B562" s="28">
        <f>IF(A562&lt;=Analysis!$B$12,A562/Inputs!$B$15,0)</f>
        <v>0</v>
      </c>
      <c r="C562" s="29">
        <f>IF(A562&lt;=Analysis!$B$12,Analysis!$B$11+IF(A562=Analysis!$B$12,Analysis!$B$4,0),0)</f>
        <v>0</v>
      </c>
      <c r="D562" s="29">
        <f>IFERROR(IF(A562&lt;=Analysis!$B$12,1/POWER(1+Analysis!$B$18/Inputs!$B$15,A562),0),0)</f>
        <v>0</v>
      </c>
      <c r="E562" s="29">
        <f t="shared" si="24"/>
        <v>0</v>
      </c>
      <c r="F562" s="30">
        <f t="shared" si="25"/>
        <v>0</v>
      </c>
      <c r="G562" s="28">
        <f t="shared" si="26"/>
        <v>0</v>
      </c>
    </row>
    <row r="563" spans="1:7">
      <c r="A563" s="27">
        <v>558</v>
      </c>
      <c r="B563" s="28">
        <f>IF(A563&lt;=Analysis!$B$12,A563/Inputs!$B$15,0)</f>
        <v>0</v>
      </c>
      <c r="C563" s="29">
        <f>IF(A563&lt;=Analysis!$B$12,Analysis!$B$11+IF(A563=Analysis!$B$12,Analysis!$B$4,0),0)</f>
        <v>0</v>
      </c>
      <c r="D563" s="29">
        <f>IFERROR(IF(A563&lt;=Analysis!$B$12,1/POWER(1+Analysis!$B$18/Inputs!$B$15,A563),0),0)</f>
        <v>0</v>
      </c>
      <c r="E563" s="29">
        <f t="shared" si="24"/>
        <v>0</v>
      </c>
      <c r="F563" s="30">
        <f t="shared" si="25"/>
        <v>0</v>
      </c>
      <c r="G563" s="28">
        <f t="shared" si="26"/>
        <v>0</v>
      </c>
    </row>
    <row r="564" spans="1:7">
      <c r="A564" s="27">
        <v>559</v>
      </c>
      <c r="B564" s="28">
        <f>IF(A564&lt;=Analysis!$B$12,A564/Inputs!$B$15,0)</f>
        <v>0</v>
      </c>
      <c r="C564" s="29">
        <f>IF(A564&lt;=Analysis!$B$12,Analysis!$B$11+IF(A564=Analysis!$B$12,Analysis!$B$4,0),0)</f>
        <v>0</v>
      </c>
      <c r="D564" s="29">
        <f>IFERROR(IF(A564&lt;=Analysis!$B$12,1/POWER(1+Analysis!$B$18/Inputs!$B$15,A564),0),0)</f>
        <v>0</v>
      </c>
      <c r="E564" s="29">
        <f t="shared" si="24"/>
        <v>0</v>
      </c>
      <c r="F564" s="30">
        <f t="shared" si="25"/>
        <v>0</v>
      </c>
      <c r="G564" s="28">
        <f t="shared" si="26"/>
        <v>0</v>
      </c>
    </row>
    <row r="565" spans="1:7">
      <c r="A565" s="27">
        <v>560</v>
      </c>
      <c r="B565" s="28">
        <f>IF(A565&lt;=Analysis!$B$12,A565/Inputs!$B$15,0)</f>
        <v>0</v>
      </c>
      <c r="C565" s="29">
        <f>IF(A565&lt;=Analysis!$B$12,Analysis!$B$11+IF(A565=Analysis!$B$12,Analysis!$B$4,0),0)</f>
        <v>0</v>
      </c>
      <c r="D565" s="29">
        <f>IFERROR(IF(A565&lt;=Analysis!$B$12,1/POWER(1+Analysis!$B$18/Inputs!$B$15,A565),0),0)</f>
        <v>0</v>
      </c>
      <c r="E565" s="29">
        <f t="shared" si="24"/>
        <v>0</v>
      </c>
      <c r="F565" s="30">
        <f t="shared" si="25"/>
        <v>0</v>
      </c>
      <c r="G565" s="28">
        <f t="shared" si="26"/>
        <v>0</v>
      </c>
    </row>
    <row r="566" spans="1:7">
      <c r="A566" s="27">
        <v>561</v>
      </c>
      <c r="B566" s="28">
        <f>IF(A566&lt;=Analysis!$B$12,A566/Inputs!$B$15,0)</f>
        <v>0</v>
      </c>
      <c r="C566" s="29">
        <f>IF(A566&lt;=Analysis!$B$12,Analysis!$B$11+IF(A566=Analysis!$B$12,Analysis!$B$4,0),0)</f>
        <v>0</v>
      </c>
      <c r="D566" s="29">
        <f>IFERROR(IF(A566&lt;=Analysis!$B$12,1/POWER(1+Analysis!$B$18/Inputs!$B$15,A566),0),0)</f>
        <v>0</v>
      </c>
      <c r="E566" s="29">
        <f t="shared" si="24"/>
        <v>0</v>
      </c>
      <c r="F566" s="30">
        <f t="shared" si="25"/>
        <v>0</v>
      </c>
      <c r="G566" s="28">
        <f t="shared" si="26"/>
        <v>0</v>
      </c>
    </row>
    <row r="567" spans="1:7">
      <c r="A567" s="27">
        <v>562</v>
      </c>
      <c r="B567" s="28">
        <f>IF(A567&lt;=Analysis!$B$12,A567/Inputs!$B$15,0)</f>
        <v>0</v>
      </c>
      <c r="C567" s="29">
        <f>IF(A567&lt;=Analysis!$B$12,Analysis!$B$11+IF(A567=Analysis!$B$12,Analysis!$B$4,0),0)</f>
        <v>0</v>
      </c>
      <c r="D567" s="29">
        <f>IFERROR(IF(A567&lt;=Analysis!$B$12,1/POWER(1+Analysis!$B$18/Inputs!$B$15,A567),0),0)</f>
        <v>0</v>
      </c>
      <c r="E567" s="29">
        <f t="shared" si="24"/>
        <v>0</v>
      </c>
      <c r="F567" s="30">
        <f t="shared" si="25"/>
        <v>0</v>
      </c>
      <c r="G567" s="28">
        <f t="shared" si="26"/>
        <v>0</v>
      </c>
    </row>
    <row r="568" spans="1:7">
      <c r="A568" s="27">
        <v>563</v>
      </c>
      <c r="B568" s="28">
        <f>IF(A568&lt;=Analysis!$B$12,A568/Inputs!$B$15,0)</f>
        <v>0</v>
      </c>
      <c r="C568" s="29">
        <f>IF(A568&lt;=Analysis!$B$12,Analysis!$B$11+IF(A568=Analysis!$B$12,Analysis!$B$4,0),0)</f>
        <v>0</v>
      </c>
      <c r="D568" s="29">
        <f>IFERROR(IF(A568&lt;=Analysis!$B$12,1/POWER(1+Analysis!$B$18/Inputs!$B$15,A568),0),0)</f>
        <v>0</v>
      </c>
      <c r="E568" s="29">
        <f t="shared" si="24"/>
        <v>0</v>
      </c>
      <c r="F568" s="30">
        <f t="shared" si="25"/>
        <v>0</v>
      </c>
      <c r="G568" s="28">
        <f t="shared" si="26"/>
        <v>0</v>
      </c>
    </row>
    <row r="569" spans="1:7">
      <c r="A569" s="27">
        <v>564</v>
      </c>
      <c r="B569" s="28">
        <f>IF(A569&lt;=Analysis!$B$12,A569/Inputs!$B$15,0)</f>
        <v>0</v>
      </c>
      <c r="C569" s="29">
        <f>IF(A569&lt;=Analysis!$B$12,Analysis!$B$11+IF(A569=Analysis!$B$12,Analysis!$B$4,0),0)</f>
        <v>0</v>
      </c>
      <c r="D569" s="29">
        <f>IFERROR(IF(A569&lt;=Analysis!$B$12,1/POWER(1+Analysis!$B$18/Inputs!$B$15,A569),0),0)</f>
        <v>0</v>
      </c>
      <c r="E569" s="29">
        <f t="shared" si="24"/>
        <v>0</v>
      </c>
      <c r="F569" s="30">
        <f t="shared" si="25"/>
        <v>0</v>
      </c>
      <c r="G569" s="28">
        <f t="shared" si="26"/>
        <v>0</v>
      </c>
    </row>
    <row r="570" spans="1:7">
      <c r="A570" s="27">
        <v>565</v>
      </c>
      <c r="B570" s="28">
        <f>IF(A570&lt;=Analysis!$B$12,A570/Inputs!$B$15,0)</f>
        <v>0</v>
      </c>
      <c r="C570" s="29">
        <f>IF(A570&lt;=Analysis!$B$12,Analysis!$B$11+IF(A570=Analysis!$B$12,Analysis!$B$4,0),0)</f>
        <v>0</v>
      </c>
      <c r="D570" s="29">
        <f>IFERROR(IF(A570&lt;=Analysis!$B$12,1/POWER(1+Analysis!$B$18/Inputs!$B$15,A570),0),0)</f>
        <v>0</v>
      </c>
      <c r="E570" s="29">
        <f t="shared" si="24"/>
        <v>0</v>
      </c>
      <c r="F570" s="30">
        <f t="shared" si="25"/>
        <v>0</v>
      </c>
      <c r="G570" s="28">
        <f t="shared" si="26"/>
        <v>0</v>
      </c>
    </row>
    <row r="571" spans="1:7">
      <c r="A571" s="27">
        <v>566</v>
      </c>
      <c r="B571" s="28">
        <f>IF(A571&lt;=Analysis!$B$12,A571/Inputs!$B$15,0)</f>
        <v>0</v>
      </c>
      <c r="C571" s="29">
        <f>IF(A571&lt;=Analysis!$B$12,Analysis!$B$11+IF(A571=Analysis!$B$12,Analysis!$B$4,0),0)</f>
        <v>0</v>
      </c>
      <c r="D571" s="29">
        <f>IFERROR(IF(A571&lt;=Analysis!$B$12,1/POWER(1+Analysis!$B$18/Inputs!$B$15,A571),0),0)</f>
        <v>0</v>
      </c>
      <c r="E571" s="29">
        <f t="shared" si="24"/>
        <v>0</v>
      </c>
      <c r="F571" s="30">
        <f t="shared" si="25"/>
        <v>0</v>
      </c>
      <c r="G571" s="28">
        <f t="shared" si="26"/>
        <v>0</v>
      </c>
    </row>
    <row r="572" spans="1:7">
      <c r="A572" s="27">
        <v>567</v>
      </c>
      <c r="B572" s="28">
        <f>IF(A572&lt;=Analysis!$B$12,A572/Inputs!$B$15,0)</f>
        <v>0</v>
      </c>
      <c r="C572" s="29">
        <f>IF(A572&lt;=Analysis!$B$12,Analysis!$B$11+IF(A572=Analysis!$B$12,Analysis!$B$4,0),0)</f>
        <v>0</v>
      </c>
      <c r="D572" s="29">
        <f>IFERROR(IF(A572&lt;=Analysis!$B$12,1/POWER(1+Analysis!$B$18/Inputs!$B$15,A572),0),0)</f>
        <v>0</v>
      </c>
      <c r="E572" s="29">
        <f t="shared" si="24"/>
        <v>0</v>
      </c>
      <c r="F572" s="30">
        <f t="shared" si="25"/>
        <v>0</v>
      </c>
      <c r="G572" s="28">
        <f t="shared" si="26"/>
        <v>0</v>
      </c>
    </row>
    <row r="573" spans="1:7">
      <c r="A573" s="27">
        <v>568</v>
      </c>
      <c r="B573" s="28">
        <f>IF(A573&lt;=Analysis!$B$12,A573/Inputs!$B$15,0)</f>
        <v>0</v>
      </c>
      <c r="C573" s="29">
        <f>IF(A573&lt;=Analysis!$B$12,Analysis!$B$11+IF(A573=Analysis!$B$12,Analysis!$B$4,0),0)</f>
        <v>0</v>
      </c>
      <c r="D573" s="29">
        <f>IFERROR(IF(A573&lt;=Analysis!$B$12,1/POWER(1+Analysis!$B$18/Inputs!$B$15,A573),0),0)</f>
        <v>0</v>
      </c>
      <c r="E573" s="29">
        <f t="shared" si="24"/>
        <v>0</v>
      </c>
      <c r="F573" s="30">
        <f t="shared" si="25"/>
        <v>0</v>
      </c>
      <c r="G573" s="28">
        <f t="shared" si="26"/>
        <v>0</v>
      </c>
    </row>
    <row r="574" spans="1:7">
      <c r="A574" s="27">
        <v>569</v>
      </c>
      <c r="B574" s="28">
        <f>IF(A574&lt;=Analysis!$B$12,A574/Inputs!$B$15,0)</f>
        <v>0</v>
      </c>
      <c r="C574" s="29">
        <f>IF(A574&lt;=Analysis!$B$12,Analysis!$B$11+IF(A574=Analysis!$B$12,Analysis!$B$4,0),0)</f>
        <v>0</v>
      </c>
      <c r="D574" s="29">
        <f>IFERROR(IF(A574&lt;=Analysis!$B$12,1/POWER(1+Analysis!$B$18/Inputs!$B$15,A574),0),0)</f>
        <v>0</v>
      </c>
      <c r="E574" s="29">
        <f t="shared" si="24"/>
        <v>0</v>
      </c>
      <c r="F574" s="30">
        <f t="shared" si="25"/>
        <v>0</v>
      </c>
      <c r="G574" s="28">
        <f t="shared" si="26"/>
        <v>0</v>
      </c>
    </row>
    <row r="575" spans="1:7">
      <c r="A575" s="27">
        <v>570</v>
      </c>
      <c r="B575" s="28">
        <f>IF(A575&lt;=Analysis!$B$12,A575/Inputs!$B$15,0)</f>
        <v>0</v>
      </c>
      <c r="C575" s="29">
        <f>IF(A575&lt;=Analysis!$B$12,Analysis!$B$11+IF(A575=Analysis!$B$12,Analysis!$B$4,0),0)</f>
        <v>0</v>
      </c>
      <c r="D575" s="29">
        <f>IFERROR(IF(A575&lt;=Analysis!$B$12,1/POWER(1+Analysis!$B$18/Inputs!$B$15,A575),0),0)</f>
        <v>0</v>
      </c>
      <c r="E575" s="29">
        <f t="shared" si="24"/>
        <v>0</v>
      </c>
      <c r="F575" s="30">
        <f t="shared" si="25"/>
        <v>0</v>
      </c>
      <c r="G575" s="28">
        <f t="shared" si="26"/>
        <v>0</v>
      </c>
    </row>
    <row r="576" spans="1:7">
      <c r="A576" s="27">
        <v>571</v>
      </c>
      <c r="B576" s="28">
        <f>IF(A576&lt;=Analysis!$B$12,A576/Inputs!$B$15,0)</f>
        <v>0</v>
      </c>
      <c r="C576" s="29">
        <f>IF(A576&lt;=Analysis!$B$12,Analysis!$B$11+IF(A576=Analysis!$B$12,Analysis!$B$4,0),0)</f>
        <v>0</v>
      </c>
      <c r="D576" s="29">
        <f>IFERROR(IF(A576&lt;=Analysis!$B$12,1/POWER(1+Analysis!$B$18/Inputs!$B$15,A576),0),0)</f>
        <v>0</v>
      </c>
      <c r="E576" s="29">
        <f t="shared" si="24"/>
        <v>0</v>
      </c>
      <c r="F576" s="30">
        <f t="shared" si="25"/>
        <v>0</v>
      </c>
      <c r="G576" s="28">
        <f t="shared" si="26"/>
        <v>0</v>
      </c>
    </row>
    <row r="577" spans="1:7">
      <c r="A577" s="27">
        <v>572</v>
      </c>
      <c r="B577" s="28">
        <f>IF(A577&lt;=Analysis!$B$12,A577/Inputs!$B$15,0)</f>
        <v>0</v>
      </c>
      <c r="C577" s="29">
        <f>IF(A577&lt;=Analysis!$B$12,Analysis!$B$11+IF(A577=Analysis!$B$12,Analysis!$B$4,0),0)</f>
        <v>0</v>
      </c>
      <c r="D577" s="29">
        <f>IFERROR(IF(A577&lt;=Analysis!$B$12,1/POWER(1+Analysis!$B$18/Inputs!$B$15,A577),0),0)</f>
        <v>0</v>
      </c>
      <c r="E577" s="29">
        <f t="shared" si="24"/>
        <v>0</v>
      </c>
      <c r="F577" s="30">
        <f t="shared" si="25"/>
        <v>0</v>
      </c>
      <c r="G577" s="28">
        <f t="shared" si="26"/>
        <v>0</v>
      </c>
    </row>
    <row r="578" spans="1:7">
      <c r="A578" s="27">
        <v>573</v>
      </c>
      <c r="B578" s="28">
        <f>IF(A578&lt;=Analysis!$B$12,A578/Inputs!$B$15,0)</f>
        <v>0</v>
      </c>
      <c r="C578" s="29">
        <f>IF(A578&lt;=Analysis!$B$12,Analysis!$B$11+IF(A578=Analysis!$B$12,Analysis!$B$4,0),0)</f>
        <v>0</v>
      </c>
      <c r="D578" s="29">
        <f>IFERROR(IF(A578&lt;=Analysis!$B$12,1/POWER(1+Analysis!$B$18/Inputs!$B$15,A578),0),0)</f>
        <v>0</v>
      </c>
      <c r="E578" s="29">
        <f t="shared" si="24"/>
        <v>0</v>
      </c>
      <c r="F578" s="30">
        <f t="shared" si="25"/>
        <v>0</v>
      </c>
      <c r="G578" s="28">
        <f t="shared" si="26"/>
        <v>0</v>
      </c>
    </row>
    <row r="579" spans="1:7">
      <c r="A579" s="27">
        <v>574</v>
      </c>
      <c r="B579" s="28">
        <f>IF(A579&lt;=Analysis!$B$12,A579/Inputs!$B$15,0)</f>
        <v>0</v>
      </c>
      <c r="C579" s="29">
        <f>IF(A579&lt;=Analysis!$B$12,Analysis!$B$11+IF(A579=Analysis!$B$12,Analysis!$B$4,0),0)</f>
        <v>0</v>
      </c>
      <c r="D579" s="29">
        <f>IFERROR(IF(A579&lt;=Analysis!$B$12,1/POWER(1+Analysis!$B$18/Inputs!$B$15,A579),0),0)</f>
        <v>0</v>
      </c>
      <c r="E579" s="29">
        <f t="shared" si="24"/>
        <v>0</v>
      </c>
      <c r="F579" s="30">
        <f t="shared" si="25"/>
        <v>0</v>
      </c>
      <c r="G579" s="28">
        <f t="shared" si="26"/>
        <v>0</v>
      </c>
    </row>
    <row r="580" spans="1:7">
      <c r="A580" s="27">
        <v>575</v>
      </c>
      <c r="B580" s="28">
        <f>IF(A580&lt;=Analysis!$B$12,A580/Inputs!$B$15,0)</f>
        <v>0</v>
      </c>
      <c r="C580" s="29">
        <f>IF(A580&lt;=Analysis!$B$12,Analysis!$B$11+IF(A580=Analysis!$B$12,Analysis!$B$4,0),0)</f>
        <v>0</v>
      </c>
      <c r="D580" s="29">
        <f>IFERROR(IF(A580&lt;=Analysis!$B$12,1/POWER(1+Analysis!$B$18/Inputs!$B$15,A580),0),0)</f>
        <v>0</v>
      </c>
      <c r="E580" s="29">
        <f t="shared" si="24"/>
        <v>0</v>
      </c>
      <c r="F580" s="30">
        <f t="shared" si="25"/>
        <v>0</v>
      </c>
      <c r="G580" s="28">
        <f t="shared" si="26"/>
        <v>0</v>
      </c>
    </row>
    <row r="581" spans="1:7">
      <c r="A581" s="27">
        <v>576</v>
      </c>
      <c r="B581" s="28">
        <f>IF(A581&lt;=Analysis!$B$12,A581/Inputs!$B$15,0)</f>
        <v>0</v>
      </c>
      <c r="C581" s="29">
        <f>IF(A581&lt;=Analysis!$B$12,Analysis!$B$11+IF(A581=Analysis!$B$12,Analysis!$B$4,0),0)</f>
        <v>0</v>
      </c>
      <c r="D581" s="29">
        <f>IFERROR(IF(A581&lt;=Analysis!$B$12,1/POWER(1+Analysis!$B$18/Inputs!$B$15,A581),0),0)</f>
        <v>0</v>
      </c>
      <c r="E581" s="29">
        <f t="shared" si="24"/>
        <v>0</v>
      </c>
      <c r="F581" s="30">
        <f t="shared" si="25"/>
        <v>0</v>
      </c>
      <c r="G581" s="28">
        <f t="shared" si="26"/>
        <v>0</v>
      </c>
    </row>
    <row r="582" spans="1:7">
      <c r="A582" s="27">
        <v>577</v>
      </c>
      <c r="B582" s="28">
        <f>IF(A582&lt;=Analysis!$B$12,A582/Inputs!$B$15,0)</f>
        <v>0</v>
      </c>
      <c r="C582" s="29">
        <f>IF(A582&lt;=Analysis!$B$12,Analysis!$B$11+IF(A582=Analysis!$B$12,Analysis!$B$4,0),0)</f>
        <v>0</v>
      </c>
      <c r="D582" s="29">
        <f>IFERROR(IF(A582&lt;=Analysis!$B$12,1/POWER(1+Analysis!$B$18/Inputs!$B$15,A582),0),0)</f>
        <v>0</v>
      </c>
      <c r="E582" s="29">
        <f t="shared" ref="E582:E605" si="27">C582*D582</f>
        <v>0</v>
      </c>
      <c r="F582" s="30">
        <f t="shared" ref="F582:F605" si="28">IFERROR(E582/SUM($E$6:$E$605),0)</f>
        <v>0</v>
      </c>
      <c r="G582" s="28">
        <f t="shared" ref="G582:G605" si="29">B582*F582</f>
        <v>0</v>
      </c>
    </row>
    <row r="583" spans="1:7">
      <c r="A583" s="27">
        <v>578</v>
      </c>
      <c r="B583" s="28">
        <f>IF(A583&lt;=Analysis!$B$12,A583/Inputs!$B$15,0)</f>
        <v>0</v>
      </c>
      <c r="C583" s="29">
        <f>IF(A583&lt;=Analysis!$B$12,Analysis!$B$11+IF(A583=Analysis!$B$12,Analysis!$B$4,0),0)</f>
        <v>0</v>
      </c>
      <c r="D583" s="29">
        <f>IFERROR(IF(A583&lt;=Analysis!$B$12,1/POWER(1+Analysis!$B$18/Inputs!$B$15,A583),0),0)</f>
        <v>0</v>
      </c>
      <c r="E583" s="29">
        <f t="shared" si="27"/>
        <v>0</v>
      </c>
      <c r="F583" s="30">
        <f t="shared" si="28"/>
        <v>0</v>
      </c>
      <c r="G583" s="28">
        <f t="shared" si="29"/>
        <v>0</v>
      </c>
    </row>
    <row r="584" spans="1:7">
      <c r="A584" s="27">
        <v>579</v>
      </c>
      <c r="B584" s="28">
        <f>IF(A584&lt;=Analysis!$B$12,A584/Inputs!$B$15,0)</f>
        <v>0</v>
      </c>
      <c r="C584" s="29">
        <f>IF(A584&lt;=Analysis!$B$12,Analysis!$B$11+IF(A584=Analysis!$B$12,Analysis!$B$4,0),0)</f>
        <v>0</v>
      </c>
      <c r="D584" s="29">
        <f>IFERROR(IF(A584&lt;=Analysis!$B$12,1/POWER(1+Analysis!$B$18/Inputs!$B$15,A584),0),0)</f>
        <v>0</v>
      </c>
      <c r="E584" s="29">
        <f t="shared" si="27"/>
        <v>0</v>
      </c>
      <c r="F584" s="30">
        <f t="shared" si="28"/>
        <v>0</v>
      </c>
      <c r="G584" s="28">
        <f t="shared" si="29"/>
        <v>0</v>
      </c>
    </row>
    <row r="585" spans="1:7">
      <c r="A585" s="27">
        <v>580</v>
      </c>
      <c r="B585" s="28">
        <f>IF(A585&lt;=Analysis!$B$12,A585/Inputs!$B$15,0)</f>
        <v>0</v>
      </c>
      <c r="C585" s="29">
        <f>IF(A585&lt;=Analysis!$B$12,Analysis!$B$11+IF(A585=Analysis!$B$12,Analysis!$B$4,0),0)</f>
        <v>0</v>
      </c>
      <c r="D585" s="29">
        <f>IFERROR(IF(A585&lt;=Analysis!$B$12,1/POWER(1+Analysis!$B$18/Inputs!$B$15,A585),0),0)</f>
        <v>0</v>
      </c>
      <c r="E585" s="29">
        <f t="shared" si="27"/>
        <v>0</v>
      </c>
      <c r="F585" s="30">
        <f t="shared" si="28"/>
        <v>0</v>
      </c>
      <c r="G585" s="28">
        <f t="shared" si="29"/>
        <v>0</v>
      </c>
    </row>
    <row r="586" spans="1:7">
      <c r="A586" s="27">
        <v>581</v>
      </c>
      <c r="B586" s="28">
        <f>IF(A586&lt;=Analysis!$B$12,A586/Inputs!$B$15,0)</f>
        <v>0</v>
      </c>
      <c r="C586" s="29">
        <f>IF(A586&lt;=Analysis!$B$12,Analysis!$B$11+IF(A586=Analysis!$B$12,Analysis!$B$4,0),0)</f>
        <v>0</v>
      </c>
      <c r="D586" s="29">
        <f>IFERROR(IF(A586&lt;=Analysis!$B$12,1/POWER(1+Analysis!$B$18/Inputs!$B$15,A586),0),0)</f>
        <v>0</v>
      </c>
      <c r="E586" s="29">
        <f t="shared" si="27"/>
        <v>0</v>
      </c>
      <c r="F586" s="30">
        <f t="shared" si="28"/>
        <v>0</v>
      </c>
      <c r="G586" s="28">
        <f t="shared" si="29"/>
        <v>0</v>
      </c>
    </row>
    <row r="587" spans="1:7">
      <c r="A587" s="27">
        <v>582</v>
      </c>
      <c r="B587" s="28">
        <f>IF(A587&lt;=Analysis!$B$12,A587/Inputs!$B$15,0)</f>
        <v>0</v>
      </c>
      <c r="C587" s="29">
        <f>IF(A587&lt;=Analysis!$B$12,Analysis!$B$11+IF(A587=Analysis!$B$12,Analysis!$B$4,0),0)</f>
        <v>0</v>
      </c>
      <c r="D587" s="29">
        <f>IFERROR(IF(A587&lt;=Analysis!$B$12,1/POWER(1+Analysis!$B$18/Inputs!$B$15,A587),0),0)</f>
        <v>0</v>
      </c>
      <c r="E587" s="29">
        <f t="shared" si="27"/>
        <v>0</v>
      </c>
      <c r="F587" s="30">
        <f t="shared" si="28"/>
        <v>0</v>
      </c>
      <c r="G587" s="28">
        <f t="shared" si="29"/>
        <v>0</v>
      </c>
    </row>
    <row r="588" spans="1:7">
      <c r="A588" s="27">
        <v>583</v>
      </c>
      <c r="B588" s="28">
        <f>IF(A588&lt;=Analysis!$B$12,A588/Inputs!$B$15,0)</f>
        <v>0</v>
      </c>
      <c r="C588" s="29">
        <f>IF(A588&lt;=Analysis!$B$12,Analysis!$B$11+IF(A588=Analysis!$B$12,Analysis!$B$4,0),0)</f>
        <v>0</v>
      </c>
      <c r="D588" s="29">
        <f>IFERROR(IF(A588&lt;=Analysis!$B$12,1/POWER(1+Analysis!$B$18/Inputs!$B$15,A588),0),0)</f>
        <v>0</v>
      </c>
      <c r="E588" s="29">
        <f t="shared" si="27"/>
        <v>0</v>
      </c>
      <c r="F588" s="30">
        <f t="shared" si="28"/>
        <v>0</v>
      </c>
      <c r="G588" s="28">
        <f t="shared" si="29"/>
        <v>0</v>
      </c>
    </row>
    <row r="589" spans="1:7">
      <c r="A589" s="27">
        <v>584</v>
      </c>
      <c r="B589" s="28">
        <f>IF(A589&lt;=Analysis!$B$12,A589/Inputs!$B$15,0)</f>
        <v>0</v>
      </c>
      <c r="C589" s="29">
        <f>IF(A589&lt;=Analysis!$B$12,Analysis!$B$11+IF(A589=Analysis!$B$12,Analysis!$B$4,0),0)</f>
        <v>0</v>
      </c>
      <c r="D589" s="29">
        <f>IFERROR(IF(A589&lt;=Analysis!$B$12,1/POWER(1+Analysis!$B$18/Inputs!$B$15,A589),0),0)</f>
        <v>0</v>
      </c>
      <c r="E589" s="29">
        <f t="shared" si="27"/>
        <v>0</v>
      </c>
      <c r="F589" s="30">
        <f t="shared" si="28"/>
        <v>0</v>
      </c>
      <c r="G589" s="28">
        <f t="shared" si="29"/>
        <v>0</v>
      </c>
    </row>
    <row r="590" spans="1:7">
      <c r="A590" s="27">
        <v>585</v>
      </c>
      <c r="B590" s="28">
        <f>IF(A590&lt;=Analysis!$B$12,A590/Inputs!$B$15,0)</f>
        <v>0</v>
      </c>
      <c r="C590" s="29">
        <f>IF(A590&lt;=Analysis!$B$12,Analysis!$B$11+IF(A590=Analysis!$B$12,Analysis!$B$4,0),0)</f>
        <v>0</v>
      </c>
      <c r="D590" s="29">
        <f>IFERROR(IF(A590&lt;=Analysis!$B$12,1/POWER(1+Analysis!$B$18/Inputs!$B$15,A590),0),0)</f>
        <v>0</v>
      </c>
      <c r="E590" s="29">
        <f t="shared" si="27"/>
        <v>0</v>
      </c>
      <c r="F590" s="30">
        <f t="shared" si="28"/>
        <v>0</v>
      </c>
      <c r="G590" s="28">
        <f t="shared" si="29"/>
        <v>0</v>
      </c>
    </row>
    <row r="591" spans="1:7">
      <c r="A591" s="27">
        <v>586</v>
      </c>
      <c r="B591" s="28">
        <f>IF(A591&lt;=Analysis!$B$12,A591/Inputs!$B$15,0)</f>
        <v>0</v>
      </c>
      <c r="C591" s="29">
        <f>IF(A591&lt;=Analysis!$B$12,Analysis!$B$11+IF(A591=Analysis!$B$12,Analysis!$B$4,0),0)</f>
        <v>0</v>
      </c>
      <c r="D591" s="29">
        <f>IFERROR(IF(A591&lt;=Analysis!$B$12,1/POWER(1+Analysis!$B$18/Inputs!$B$15,A591),0),0)</f>
        <v>0</v>
      </c>
      <c r="E591" s="29">
        <f t="shared" si="27"/>
        <v>0</v>
      </c>
      <c r="F591" s="30">
        <f t="shared" si="28"/>
        <v>0</v>
      </c>
      <c r="G591" s="28">
        <f t="shared" si="29"/>
        <v>0</v>
      </c>
    </row>
    <row r="592" spans="1:7">
      <c r="A592" s="27">
        <v>587</v>
      </c>
      <c r="B592" s="28">
        <f>IF(A592&lt;=Analysis!$B$12,A592/Inputs!$B$15,0)</f>
        <v>0</v>
      </c>
      <c r="C592" s="29">
        <f>IF(A592&lt;=Analysis!$B$12,Analysis!$B$11+IF(A592=Analysis!$B$12,Analysis!$B$4,0),0)</f>
        <v>0</v>
      </c>
      <c r="D592" s="29">
        <f>IFERROR(IF(A592&lt;=Analysis!$B$12,1/POWER(1+Analysis!$B$18/Inputs!$B$15,A592),0),0)</f>
        <v>0</v>
      </c>
      <c r="E592" s="29">
        <f t="shared" si="27"/>
        <v>0</v>
      </c>
      <c r="F592" s="30">
        <f t="shared" si="28"/>
        <v>0</v>
      </c>
      <c r="G592" s="28">
        <f t="shared" si="29"/>
        <v>0</v>
      </c>
    </row>
    <row r="593" spans="1:7">
      <c r="A593" s="27">
        <v>588</v>
      </c>
      <c r="B593" s="28">
        <f>IF(A593&lt;=Analysis!$B$12,A593/Inputs!$B$15,0)</f>
        <v>0</v>
      </c>
      <c r="C593" s="29">
        <f>IF(A593&lt;=Analysis!$B$12,Analysis!$B$11+IF(A593=Analysis!$B$12,Analysis!$B$4,0),0)</f>
        <v>0</v>
      </c>
      <c r="D593" s="29">
        <f>IFERROR(IF(A593&lt;=Analysis!$B$12,1/POWER(1+Analysis!$B$18/Inputs!$B$15,A593),0),0)</f>
        <v>0</v>
      </c>
      <c r="E593" s="29">
        <f t="shared" si="27"/>
        <v>0</v>
      </c>
      <c r="F593" s="30">
        <f t="shared" si="28"/>
        <v>0</v>
      </c>
      <c r="G593" s="28">
        <f t="shared" si="29"/>
        <v>0</v>
      </c>
    </row>
    <row r="594" spans="1:7">
      <c r="A594" s="27">
        <v>589</v>
      </c>
      <c r="B594" s="28">
        <f>IF(A594&lt;=Analysis!$B$12,A594/Inputs!$B$15,0)</f>
        <v>0</v>
      </c>
      <c r="C594" s="29">
        <f>IF(A594&lt;=Analysis!$B$12,Analysis!$B$11+IF(A594=Analysis!$B$12,Analysis!$B$4,0),0)</f>
        <v>0</v>
      </c>
      <c r="D594" s="29">
        <f>IFERROR(IF(A594&lt;=Analysis!$B$12,1/POWER(1+Analysis!$B$18/Inputs!$B$15,A594),0),0)</f>
        <v>0</v>
      </c>
      <c r="E594" s="29">
        <f t="shared" si="27"/>
        <v>0</v>
      </c>
      <c r="F594" s="30">
        <f t="shared" si="28"/>
        <v>0</v>
      </c>
      <c r="G594" s="28">
        <f t="shared" si="29"/>
        <v>0</v>
      </c>
    </row>
    <row r="595" spans="1:7">
      <c r="A595" s="27">
        <v>590</v>
      </c>
      <c r="B595" s="28">
        <f>IF(A595&lt;=Analysis!$B$12,A595/Inputs!$B$15,0)</f>
        <v>0</v>
      </c>
      <c r="C595" s="29">
        <f>IF(A595&lt;=Analysis!$B$12,Analysis!$B$11+IF(A595=Analysis!$B$12,Analysis!$B$4,0),0)</f>
        <v>0</v>
      </c>
      <c r="D595" s="29">
        <f>IFERROR(IF(A595&lt;=Analysis!$B$12,1/POWER(1+Analysis!$B$18/Inputs!$B$15,A595),0),0)</f>
        <v>0</v>
      </c>
      <c r="E595" s="29">
        <f t="shared" si="27"/>
        <v>0</v>
      </c>
      <c r="F595" s="30">
        <f t="shared" si="28"/>
        <v>0</v>
      </c>
      <c r="G595" s="28">
        <f t="shared" si="29"/>
        <v>0</v>
      </c>
    </row>
    <row r="596" spans="1:7">
      <c r="A596" s="27">
        <v>591</v>
      </c>
      <c r="B596" s="28">
        <f>IF(A596&lt;=Analysis!$B$12,A596/Inputs!$B$15,0)</f>
        <v>0</v>
      </c>
      <c r="C596" s="29">
        <f>IF(A596&lt;=Analysis!$B$12,Analysis!$B$11+IF(A596=Analysis!$B$12,Analysis!$B$4,0),0)</f>
        <v>0</v>
      </c>
      <c r="D596" s="29">
        <f>IFERROR(IF(A596&lt;=Analysis!$B$12,1/POWER(1+Analysis!$B$18/Inputs!$B$15,A596),0),0)</f>
        <v>0</v>
      </c>
      <c r="E596" s="29">
        <f t="shared" si="27"/>
        <v>0</v>
      </c>
      <c r="F596" s="30">
        <f t="shared" si="28"/>
        <v>0</v>
      </c>
      <c r="G596" s="28">
        <f t="shared" si="29"/>
        <v>0</v>
      </c>
    </row>
    <row r="597" spans="1:7">
      <c r="A597" s="27">
        <v>592</v>
      </c>
      <c r="B597" s="28">
        <f>IF(A597&lt;=Analysis!$B$12,A597/Inputs!$B$15,0)</f>
        <v>0</v>
      </c>
      <c r="C597" s="29">
        <f>IF(A597&lt;=Analysis!$B$12,Analysis!$B$11+IF(A597=Analysis!$B$12,Analysis!$B$4,0),0)</f>
        <v>0</v>
      </c>
      <c r="D597" s="29">
        <f>IFERROR(IF(A597&lt;=Analysis!$B$12,1/POWER(1+Analysis!$B$18/Inputs!$B$15,A597),0),0)</f>
        <v>0</v>
      </c>
      <c r="E597" s="29">
        <f t="shared" si="27"/>
        <v>0</v>
      </c>
      <c r="F597" s="30">
        <f t="shared" si="28"/>
        <v>0</v>
      </c>
      <c r="G597" s="28">
        <f t="shared" si="29"/>
        <v>0</v>
      </c>
    </row>
    <row r="598" spans="1:7">
      <c r="A598" s="27">
        <v>593</v>
      </c>
      <c r="B598" s="28">
        <f>IF(A598&lt;=Analysis!$B$12,A598/Inputs!$B$15,0)</f>
        <v>0</v>
      </c>
      <c r="C598" s="29">
        <f>IF(A598&lt;=Analysis!$B$12,Analysis!$B$11+IF(A598=Analysis!$B$12,Analysis!$B$4,0),0)</f>
        <v>0</v>
      </c>
      <c r="D598" s="29">
        <f>IFERROR(IF(A598&lt;=Analysis!$B$12,1/POWER(1+Analysis!$B$18/Inputs!$B$15,A598),0),0)</f>
        <v>0</v>
      </c>
      <c r="E598" s="29">
        <f t="shared" si="27"/>
        <v>0</v>
      </c>
      <c r="F598" s="30">
        <f t="shared" si="28"/>
        <v>0</v>
      </c>
      <c r="G598" s="28">
        <f t="shared" si="29"/>
        <v>0</v>
      </c>
    </row>
    <row r="599" spans="1:7">
      <c r="A599" s="27">
        <v>594</v>
      </c>
      <c r="B599" s="28">
        <f>IF(A599&lt;=Analysis!$B$12,A599/Inputs!$B$15,0)</f>
        <v>0</v>
      </c>
      <c r="C599" s="29">
        <f>IF(A599&lt;=Analysis!$B$12,Analysis!$B$11+IF(A599=Analysis!$B$12,Analysis!$B$4,0),0)</f>
        <v>0</v>
      </c>
      <c r="D599" s="29">
        <f>IFERROR(IF(A599&lt;=Analysis!$B$12,1/POWER(1+Analysis!$B$18/Inputs!$B$15,A599),0),0)</f>
        <v>0</v>
      </c>
      <c r="E599" s="29">
        <f t="shared" si="27"/>
        <v>0</v>
      </c>
      <c r="F599" s="30">
        <f t="shared" si="28"/>
        <v>0</v>
      </c>
      <c r="G599" s="28">
        <f t="shared" si="29"/>
        <v>0</v>
      </c>
    </row>
    <row r="600" spans="1:7">
      <c r="A600" s="27">
        <v>595</v>
      </c>
      <c r="B600" s="28">
        <f>IF(A600&lt;=Analysis!$B$12,A600/Inputs!$B$15,0)</f>
        <v>0</v>
      </c>
      <c r="C600" s="29">
        <f>IF(A600&lt;=Analysis!$B$12,Analysis!$B$11+IF(A600=Analysis!$B$12,Analysis!$B$4,0),0)</f>
        <v>0</v>
      </c>
      <c r="D600" s="29">
        <f>IFERROR(IF(A600&lt;=Analysis!$B$12,1/POWER(1+Analysis!$B$18/Inputs!$B$15,A600),0),0)</f>
        <v>0</v>
      </c>
      <c r="E600" s="29">
        <f t="shared" si="27"/>
        <v>0</v>
      </c>
      <c r="F600" s="30">
        <f t="shared" si="28"/>
        <v>0</v>
      </c>
      <c r="G600" s="28">
        <f t="shared" si="29"/>
        <v>0</v>
      </c>
    </row>
    <row r="601" spans="1:7">
      <c r="A601" s="27">
        <v>596</v>
      </c>
      <c r="B601" s="28">
        <f>IF(A601&lt;=Analysis!$B$12,A601/Inputs!$B$15,0)</f>
        <v>0</v>
      </c>
      <c r="C601" s="29">
        <f>IF(A601&lt;=Analysis!$B$12,Analysis!$B$11+IF(A601=Analysis!$B$12,Analysis!$B$4,0),0)</f>
        <v>0</v>
      </c>
      <c r="D601" s="29">
        <f>IFERROR(IF(A601&lt;=Analysis!$B$12,1/POWER(1+Analysis!$B$18/Inputs!$B$15,A601),0),0)</f>
        <v>0</v>
      </c>
      <c r="E601" s="29">
        <f t="shared" si="27"/>
        <v>0</v>
      </c>
      <c r="F601" s="30">
        <f t="shared" si="28"/>
        <v>0</v>
      </c>
      <c r="G601" s="28">
        <f t="shared" si="29"/>
        <v>0</v>
      </c>
    </row>
    <row r="602" spans="1:7">
      <c r="A602" s="27">
        <v>597</v>
      </c>
      <c r="B602" s="28">
        <f>IF(A602&lt;=Analysis!$B$12,A602/Inputs!$B$15,0)</f>
        <v>0</v>
      </c>
      <c r="C602" s="29">
        <f>IF(A602&lt;=Analysis!$B$12,Analysis!$B$11+IF(A602=Analysis!$B$12,Analysis!$B$4,0),0)</f>
        <v>0</v>
      </c>
      <c r="D602" s="29">
        <f>IFERROR(IF(A602&lt;=Analysis!$B$12,1/POWER(1+Analysis!$B$18/Inputs!$B$15,A602),0),0)</f>
        <v>0</v>
      </c>
      <c r="E602" s="29">
        <f t="shared" si="27"/>
        <v>0</v>
      </c>
      <c r="F602" s="30">
        <f t="shared" si="28"/>
        <v>0</v>
      </c>
      <c r="G602" s="28">
        <f t="shared" si="29"/>
        <v>0</v>
      </c>
    </row>
    <row r="603" spans="1:7">
      <c r="A603" s="27">
        <v>598</v>
      </c>
      <c r="B603" s="28">
        <f>IF(A603&lt;=Analysis!$B$12,A603/Inputs!$B$15,0)</f>
        <v>0</v>
      </c>
      <c r="C603" s="29">
        <f>IF(A603&lt;=Analysis!$B$12,Analysis!$B$11+IF(A603=Analysis!$B$12,Analysis!$B$4,0),0)</f>
        <v>0</v>
      </c>
      <c r="D603" s="29">
        <f>IFERROR(IF(A603&lt;=Analysis!$B$12,1/POWER(1+Analysis!$B$18/Inputs!$B$15,A603),0),0)</f>
        <v>0</v>
      </c>
      <c r="E603" s="29">
        <f t="shared" si="27"/>
        <v>0</v>
      </c>
      <c r="F603" s="30">
        <f t="shared" si="28"/>
        <v>0</v>
      </c>
      <c r="G603" s="28">
        <f t="shared" si="29"/>
        <v>0</v>
      </c>
    </row>
    <row r="604" spans="1:7">
      <c r="A604" s="27">
        <v>599</v>
      </c>
      <c r="B604" s="28">
        <f>IF(A604&lt;=Analysis!$B$12,A604/Inputs!$B$15,0)</f>
        <v>0</v>
      </c>
      <c r="C604" s="29">
        <f>IF(A604&lt;=Analysis!$B$12,Analysis!$B$11+IF(A604=Analysis!$B$12,Analysis!$B$4,0),0)</f>
        <v>0</v>
      </c>
      <c r="D604" s="29">
        <f>IFERROR(IF(A604&lt;=Analysis!$B$12,1/POWER(1+Analysis!$B$18/Inputs!$B$15,A604),0),0)</f>
        <v>0</v>
      </c>
      <c r="E604" s="29">
        <f t="shared" si="27"/>
        <v>0</v>
      </c>
      <c r="F604" s="30">
        <f t="shared" si="28"/>
        <v>0</v>
      </c>
      <c r="G604" s="28">
        <f t="shared" si="29"/>
        <v>0</v>
      </c>
    </row>
    <row r="605" spans="1:7">
      <c r="A605" s="27">
        <v>600</v>
      </c>
      <c r="B605" s="28">
        <f>IF(A605&lt;=Analysis!$B$12,A605/Inputs!$B$15,0)</f>
        <v>0</v>
      </c>
      <c r="C605" s="29">
        <f>IF(A605&lt;=Analysis!$B$12,Analysis!$B$11+IF(A605=Analysis!$B$12,Analysis!$B$4,0),0)</f>
        <v>0</v>
      </c>
      <c r="D605" s="29">
        <f>IFERROR(IF(A605&lt;=Analysis!$B$12,1/POWER(1+Analysis!$B$18/Inputs!$B$15,A605),0),0)</f>
        <v>0</v>
      </c>
      <c r="E605" s="29">
        <f t="shared" si="27"/>
        <v>0</v>
      </c>
      <c r="F605" s="30">
        <f t="shared" si="28"/>
        <v>0</v>
      </c>
      <c r="G605" s="28">
        <f t="shared" si="29"/>
        <v>0</v>
      </c>
    </row>
  </sheetData>
  <sheetProtection sheet="1" objects="1" scenarios="1" selectLockedCells="1"/>
  <mergeCells count="2">
    <mergeCell ref="A1:H1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selection activeCell="C2" sqref="C1:D1048576"/>
    </sheetView>
  </sheetViews>
  <sheetFormatPr defaultRowHeight="14.25"/>
  <cols>
    <col min="1" max="1" width="32" customWidth="1"/>
    <col min="2" max="2" width="22" customWidth="1"/>
    <col min="3" max="4" width="6.875" customWidth="1"/>
    <col min="5" max="5" width="12.5" customWidth="1"/>
    <col min="6" max="6" width="55" customWidth="1"/>
  </cols>
  <sheetData>
    <row r="1" spans="1:8" ht="30" customHeight="1">
      <c r="A1" s="45" t="s">
        <v>139</v>
      </c>
      <c r="B1" s="49"/>
      <c r="C1" s="49"/>
      <c r="D1" s="49"/>
      <c r="E1" s="49"/>
      <c r="F1" s="49"/>
      <c r="G1" s="10"/>
      <c r="H1" s="10"/>
    </row>
    <row r="2" spans="1:8" ht="18" customHeight="1">
      <c r="A2" s="10"/>
      <c r="B2" s="10"/>
      <c r="C2" s="10"/>
      <c r="D2" s="10"/>
      <c r="E2" s="10"/>
      <c r="F2" s="10"/>
      <c r="G2" s="10"/>
      <c r="H2" s="10"/>
    </row>
    <row r="3" spans="1:8" ht="18" customHeight="1">
      <c r="A3" s="50" t="s">
        <v>140</v>
      </c>
      <c r="B3" s="49"/>
      <c r="C3" s="49"/>
      <c r="D3" s="49"/>
      <c r="E3" s="49"/>
      <c r="F3" s="49"/>
      <c r="G3" s="10"/>
      <c r="H3" s="10"/>
    </row>
    <row r="4" spans="1:8" ht="18" customHeight="1">
      <c r="A4" s="10"/>
      <c r="B4" s="10"/>
      <c r="C4" s="10"/>
      <c r="D4" s="10"/>
      <c r="E4" s="10"/>
      <c r="F4" s="10"/>
      <c r="G4" s="10"/>
      <c r="H4" s="10"/>
    </row>
    <row r="5" spans="1:8" ht="28.5" customHeight="1">
      <c r="A5" s="1" t="s">
        <v>141</v>
      </c>
      <c r="B5" s="1" t="s">
        <v>142</v>
      </c>
      <c r="C5" s="1" t="s">
        <v>143</v>
      </c>
      <c r="D5" s="1" t="s">
        <v>137</v>
      </c>
      <c r="E5" s="1" t="s">
        <v>144</v>
      </c>
      <c r="F5" s="1" t="s">
        <v>6</v>
      </c>
      <c r="G5" s="10"/>
      <c r="H5" s="10"/>
    </row>
    <row r="6" spans="1:8" ht="18" customHeight="1">
      <c r="A6" s="2" t="s">
        <v>145</v>
      </c>
      <c r="B6" s="4" t="str">
        <f>Inputs!$B$11</f>
        <v>AAA</v>
      </c>
      <c r="C6" s="9">
        <f>IFERROR(VLOOKUP(Inputs!$B$11,Lists!$O$2:$P$11,2,FALSE),7)</f>
        <v>1</v>
      </c>
      <c r="D6" s="9">
        <v>0.35</v>
      </c>
      <c r="E6" s="9">
        <f t="shared" ref="E6:E12" si="0">C6*D6</f>
        <v>0.35</v>
      </c>
      <c r="F6" s="4" t="s">
        <v>146</v>
      </c>
      <c r="G6" s="10"/>
      <c r="H6" s="10"/>
    </row>
    <row r="7" spans="1:8" ht="18" customHeight="1">
      <c r="A7" s="2" t="s">
        <v>52</v>
      </c>
      <c r="B7" s="4" t="str">
        <f>Inputs!$B$6</f>
        <v>Treasury/Government</v>
      </c>
      <c r="C7" s="9">
        <f>IFERROR(VLOOKUP(Inputs!$B$6,Lists!$AA$2:$AB$4,2,FALSE),4)</f>
        <v>1</v>
      </c>
      <c r="D7" s="9">
        <v>0.1</v>
      </c>
      <c r="E7" s="9">
        <f t="shared" si="0"/>
        <v>0.1</v>
      </c>
      <c r="F7" s="4" t="s">
        <v>147</v>
      </c>
      <c r="G7" s="10"/>
      <c r="H7" s="10"/>
    </row>
    <row r="8" spans="1:8" ht="18" customHeight="1">
      <c r="A8" s="2" t="s">
        <v>148</v>
      </c>
      <c r="B8" s="4">
        <f>Analysis!$B$22</f>
        <v>8.0094922747107002</v>
      </c>
      <c r="C8" s="9">
        <f>IF(B8&lt;3,1,IF(B8&lt;=6,3,6))</f>
        <v>6</v>
      </c>
      <c r="D8" s="9">
        <v>0.25</v>
      </c>
      <c r="E8" s="9">
        <f t="shared" si="0"/>
        <v>1.5</v>
      </c>
      <c r="F8" s="4" t="s">
        <v>149</v>
      </c>
      <c r="G8" s="10"/>
      <c r="H8" s="10"/>
    </row>
    <row r="9" spans="1:8" ht="18" customHeight="1">
      <c r="A9" s="2" t="s">
        <v>150</v>
      </c>
      <c r="B9" s="4" t="str">
        <f>Inputs!$B$10</f>
        <v>Υψηλή</v>
      </c>
      <c r="C9" s="9">
        <f>IFERROR(VLOOKUP(Inputs!$B$10,Lists!$R$2:$S$4,2,FALSE),3)</f>
        <v>1</v>
      </c>
      <c r="D9" s="9">
        <v>0.1</v>
      </c>
      <c r="E9" s="9">
        <f t="shared" si="0"/>
        <v>0.1</v>
      </c>
      <c r="F9" s="4" t="s">
        <v>151</v>
      </c>
      <c r="G9" s="10"/>
      <c r="H9" s="10"/>
    </row>
    <row r="10" spans="1:8" ht="18" customHeight="1">
      <c r="A10" s="2" t="s">
        <v>152</v>
      </c>
      <c r="B10" s="4" t="str">
        <f>IF(Inputs!$B$7=Inputs!$B$22,"Ίδιο νόμισμα","Διαφορετικό νόμισμα")</f>
        <v>Διαφορετικό νόμισμα</v>
      </c>
      <c r="C10" s="9">
        <f>IF(Inputs!$B$7=Inputs!$B$22,1,5)</f>
        <v>5</v>
      </c>
      <c r="D10" s="9">
        <v>0.08</v>
      </c>
      <c r="E10" s="9">
        <f t="shared" si="0"/>
        <v>0.4</v>
      </c>
      <c r="F10" s="4" t="s">
        <v>153</v>
      </c>
      <c r="G10" s="10"/>
      <c r="H10" s="10"/>
    </row>
    <row r="11" spans="1:8" ht="18" customHeight="1">
      <c r="A11" s="2" t="s">
        <v>58</v>
      </c>
      <c r="B11" s="4" t="str">
        <f>Inputs!$B$8</f>
        <v>Senior</v>
      </c>
      <c r="C11" s="9">
        <f>IFERROR(VLOOKUP(Inputs!$B$8,Lists!$U$2:$V$3,2,FALSE),3)</f>
        <v>1</v>
      </c>
      <c r="D11" s="9">
        <v>7.0000000000000007E-2</v>
      </c>
      <c r="E11" s="9">
        <f t="shared" si="0"/>
        <v>7.0000000000000007E-2</v>
      </c>
      <c r="F11" s="4" t="s">
        <v>154</v>
      </c>
      <c r="G11" s="10"/>
      <c r="H11" s="10"/>
    </row>
    <row r="12" spans="1:8" ht="18" customHeight="1">
      <c r="A12" s="2" t="s">
        <v>155</v>
      </c>
      <c r="B12" s="4" t="str">
        <f>Inputs!$B$9</f>
        <v>Όχι</v>
      </c>
      <c r="C12" s="9">
        <f>IFERROR(VLOOKUP(Inputs!$B$9,Lists!$X$2:$Y$3,2,FALSE),2)</f>
        <v>1</v>
      </c>
      <c r="D12" s="9">
        <v>0.05</v>
      </c>
      <c r="E12" s="9">
        <f t="shared" si="0"/>
        <v>0.05</v>
      </c>
      <c r="F12" s="4" t="s">
        <v>156</v>
      </c>
      <c r="G12" s="10"/>
      <c r="H12" s="10"/>
    </row>
    <row r="13" spans="1:8" ht="18" customHeight="1">
      <c r="A13" s="10"/>
      <c r="B13" s="10"/>
      <c r="C13" s="11"/>
      <c r="D13" s="11"/>
      <c r="E13" s="11"/>
      <c r="F13" s="10"/>
      <c r="G13" s="10"/>
      <c r="H13" s="10"/>
    </row>
    <row r="14" spans="1:8" ht="18" customHeight="1">
      <c r="A14" s="2" t="s">
        <v>157</v>
      </c>
      <c r="B14" s="4">
        <f>SUM(E6:E12)</f>
        <v>2.5699999999999994</v>
      </c>
      <c r="C14" s="11"/>
      <c r="D14" s="11"/>
      <c r="E14" s="11"/>
      <c r="F14" s="10"/>
      <c r="G14" s="10"/>
      <c r="H14" s="10"/>
    </row>
    <row r="15" spans="1:8" ht="18" customHeight="1">
      <c r="A15" s="2" t="s">
        <v>3</v>
      </c>
      <c r="B15" s="4" t="str">
        <f>IF(B14&lt;=2.5,"Χαμηλός",IF(B14&lt;=4.5,"Μέσος","Υψηλός"))</f>
        <v>Μέσος</v>
      </c>
      <c r="C15" s="10"/>
      <c r="D15" s="10"/>
      <c r="E15" s="10"/>
      <c r="F15" s="10"/>
      <c r="G15" s="10"/>
      <c r="H15" s="10"/>
    </row>
    <row r="16" spans="1:8" ht="66.75" customHeight="1">
      <c r="A16" s="2" t="s">
        <v>158</v>
      </c>
      <c r="B16" s="4" t="str">
        <f>"Risk Score="&amp;TEXT(B14,"0.00")&amp;" άρα κίνδυνος: "&amp;B15&amp;". Έλεγξε κυρίως rating, duration και ρευστότητα."</f>
        <v>Risk Score=003 άρα κίνδυνος: Μέσος. Έλεγξε κυρίως rating, duration και ρευστότητα.</v>
      </c>
      <c r="C16" s="10"/>
      <c r="D16" s="10"/>
      <c r="E16" s="10"/>
      <c r="F16" s="10"/>
      <c r="G16" s="10"/>
      <c r="H16" s="10"/>
    </row>
    <row r="17" spans="1:8" ht="18" customHeight="1">
      <c r="A17" s="10"/>
      <c r="B17" s="10"/>
      <c r="C17" s="10"/>
      <c r="D17" s="10"/>
      <c r="E17" s="10"/>
      <c r="F17" s="10"/>
      <c r="G17" s="10"/>
      <c r="H17" s="10"/>
    </row>
    <row r="18" spans="1:8" ht="18" customHeight="1">
      <c r="A18" s="10"/>
      <c r="B18" s="10"/>
      <c r="C18" s="10"/>
      <c r="D18" s="10"/>
      <c r="E18" s="10"/>
      <c r="F18" s="10"/>
      <c r="G18" s="10"/>
      <c r="H18" s="10"/>
    </row>
    <row r="19" spans="1:8" ht="18" customHeight="1">
      <c r="A19" s="10"/>
      <c r="B19" s="10"/>
      <c r="C19" s="10"/>
      <c r="D19" s="10"/>
      <c r="E19" s="10"/>
      <c r="F19" s="10"/>
      <c r="G19" s="10"/>
      <c r="H19" s="10"/>
    </row>
    <row r="20" spans="1:8" ht="18" customHeight="1">
      <c r="A20" s="10"/>
      <c r="B20" s="10"/>
      <c r="C20" s="10"/>
      <c r="D20" s="10"/>
      <c r="E20" s="10"/>
      <c r="F20" s="10"/>
      <c r="G20" s="10"/>
      <c r="H20" s="10"/>
    </row>
    <row r="21" spans="1:8" ht="18" customHeight="1">
      <c r="A21" s="10"/>
      <c r="B21" s="10"/>
      <c r="C21" s="10"/>
      <c r="D21" s="10"/>
      <c r="E21" s="10"/>
      <c r="F21" s="10"/>
      <c r="G21" s="10"/>
      <c r="H21" s="10"/>
    </row>
    <row r="22" spans="1:8" ht="18" customHeight="1">
      <c r="A22" s="10"/>
      <c r="B22" s="10"/>
      <c r="C22" s="10"/>
      <c r="D22" s="10"/>
      <c r="E22" s="10"/>
      <c r="F22" s="10"/>
      <c r="G22" s="10"/>
      <c r="H22" s="10"/>
    </row>
    <row r="23" spans="1:8" ht="18" customHeight="1">
      <c r="A23" s="10"/>
      <c r="B23" s="10"/>
      <c r="C23" s="10"/>
      <c r="D23" s="10"/>
      <c r="E23" s="10"/>
      <c r="F23" s="10"/>
      <c r="G23" s="10"/>
      <c r="H23" s="10"/>
    </row>
    <row r="24" spans="1:8" ht="18" customHeight="1">
      <c r="A24" s="10"/>
      <c r="B24" s="10"/>
      <c r="C24" s="10"/>
      <c r="D24" s="10"/>
      <c r="E24" s="10"/>
      <c r="F24" s="10"/>
      <c r="G24" s="10"/>
      <c r="H24" s="10"/>
    </row>
    <row r="25" spans="1:8" ht="18" customHeight="1">
      <c r="A25" s="10"/>
      <c r="B25" s="10"/>
      <c r="C25" s="10"/>
      <c r="D25" s="10"/>
      <c r="E25" s="10"/>
      <c r="F25" s="10"/>
      <c r="G25" s="10"/>
      <c r="H25" s="10"/>
    </row>
    <row r="26" spans="1:8" ht="18" customHeight="1">
      <c r="A26" s="10"/>
      <c r="B26" s="10"/>
      <c r="C26" s="10"/>
      <c r="D26" s="10"/>
      <c r="E26" s="10"/>
      <c r="F26" s="10"/>
      <c r="G26" s="10"/>
      <c r="H26" s="10"/>
    </row>
    <row r="27" spans="1:8" ht="18" customHeight="1">
      <c r="A27" s="10"/>
      <c r="B27" s="10"/>
      <c r="C27" s="10"/>
      <c r="D27" s="10"/>
      <c r="E27" s="10"/>
      <c r="F27" s="10"/>
      <c r="G27" s="10"/>
      <c r="H27" s="10"/>
    </row>
    <row r="28" spans="1:8" ht="18" customHeight="1">
      <c r="A28" s="10"/>
      <c r="B28" s="10"/>
      <c r="C28" s="10"/>
      <c r="D28" s="10"/>
      <c r="E28" s="10"/>
      <c r="F28" s="10"/>
      <c r="G28" s="10"/>
      <c r="H28" s="10"/>
    </row>
    <row r="29" spans="1:8" ht="18" customHeight="1">
      <c r="A29" s="10"/>
      <c r="B29" s="10"/>
      <c r="C29" s="10"/>
      <c r="D29" s="10"/>
      <c r="E29" s="10"/>
      <c r="F29" s="10"/>
      <c r="G29" s="10"/>
      <c r="H29" s="10"/>
    </row>
    <row r="30" spans="1:8" ht="18" customHeight="1">
      <c r="A30" s="10"/>
      <c r="B30" s="10"/>
      <c r="C30" s="10"/>
      <c r="D30" s="10"/>
      <c r="E30" s="10"/>
      <c r="F30" s="10"/>
      <c r="G30" s="10"/>
      <c r="H30" s="10"/>
    </row>
    <row r="31" spans="1:8" ht="18" customHeight="1">
      <c r="A31" s="10"/>
      <c r="B31" s="10"/>
      <c r="C31" s="10"/>
      <c r="D31" s="10"/>
      <c r="E31" s="10"/>
      <c r="F31" s="10"/>
      <c r="G31" s="10"/>
      <c r="H31" s="10"/>
    </row>
    <row r="32" spans="1:8" ht="18" customHeight="1">
      <c r="A32" s="10"/>
      <c r="B32" s="10"/>
      <c r="C32" s="10"/>
      <c r="D32" s="10"/>
      <c r="E32" s="10"/>
      <c r="F32" s="10"/>
      <c r="G32" s="10"/>
      <c r="H32" s="10"/>
    </row>
    <row r="33" spans="1:8" ht="18" customHeight="1">
      <c r="A33" s="10"/>
      <c r="B33" s="10"/>
      <c r="C33" s="10"/>
      <c r="D33" s="10"/>
      <c r="E33" s="10"/>
      <c r="F33" s="10"/>
      <c r="G33" s="10"/>
      <c r="H33" s="10"/>
    </row>
    <row r="34" spans="1:8" ht="18" customHeight="1">
      <c r="A34" s="10"/>
      <c r="B34" s="10"/>
      <c r="C34" s="10"/>
      <c r="D34" s="10"/>
      <c r="E34" s="10"/>
      <c r="F34" s="10"/>
      <c r="G34" s="10"/>
      <c r="H34" s="10"/>
    </row>
    <row r="35" spans="1:8" ht="18" customHeight="1">
      <c r="A35" s="10"/>
      <c r="B35" s="10"/>
      <c r="C35" s="10"/>
      <c r="D35" s="10"/>
      <c r="E35" s="10"/>
      <c r="F35" s="10"/>
      <c r="G35" s="10"/>
      <c r="H35" s="10"/>
    </row>
    <row r="36" spans="1:8" ht="18" customHeight="1">
      <c r="A36" s="10"/>
      <c r="B36" s="10"/>
      <c r="C36" s="10"/>
      <c r="D36" s="10"/>
      <c r="E36" s="10"/>
      <c r="F36" s="10"/>
      <c r="G36" s="10"/>
      <c r="H36" s="10"/>
    </row>
    <row r="37" spans="1:8" ht="18" customHeight="1">
      <c r="A37" s="10"/>
      <c r="B37" s="10"/>
      <c r="C37" s="10"/>
      <c r="D37" s="10"/>
      <c r="E37" s="10"/>
      <c r="F37" s="10"/>
      <c r="G37" s="10"/>
      <c r="H37" s="10"/>
    </row>
    <row r="38" spans="1:8" ht="18" customHeight="1">
      <c r="A38" s="10"/>
      <c r="B38" s="10"/>
      <c r="C38" s="10"/>
      <c r="D38" s="10"/>
      <c r="E38" s="10"/>
      <c r="F38" s="10"/>
      <c r="G38" s="10"/>
      <c r="H38" s="10"/>
    </row>
    <row r="39" spans="1:8" ht="18" customHeight="1">
      <c r="A39" s="10"/>
      <c r="B39" s="10"/>
      <c r="C39" s="10"/>
      <c r="D39" s="10"/>
      <c r="E39" s="10"/>
      <c r="F39" s="10"/>
      <c r="G39" s="10"/>
      <c r="H39" s="10"/>
    </row>
    <row r="40" spans="1:8" ht="18" customHeight="1">
      <c r="A40" s="10"/>
      <c r="B40" s="10"/>
      <c r="C40" s="10"/>
      <c r="D40" s="10"/>
      <c r="E40" s="10"/>
      <c r="F40" s="10"/>
      <c r="G40" s="10"/>
      <c r="H40" s="10"/>
    </row>
  </sheetData>
  <mergeCells count="2">
    <mergeCell ref="A1:F1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>
      <selection sqref="A1:F1"/>
    </sheetView>
  </sheetViews>
  <sheetFormatPr defaultRowHeight="14.25"/>
  <cols>
    <col min="1" max="5" width="24" customWidth="1"/>
  </cols>
  <sheetData>
    <row r="1" spans="1:8" ht="30" customHeight="1">
      <c r="A1" s="45" t="s">
        <v>159</v>
      </c>
      <c r="B1" s="49"/>
      <c r="C1" s="49"/>
      <c r="D1" s="49"/>
      <c r="E1" s="49"/>
      <c r="F1" s="49"/>
      <c r="G1" s="10"/>
      <c r="H1" s="10"/>
    </row>
    <row r="2" spans="1:8" ht="18" customHeight="1">
      <c r="A2" s="10"/>
      <c r="B2" s="10"/>
      <c r="C2" s="10"/>
      <c r="D2" s="10"/>
      <c r="E2" s="10"/>
      <c r="F2" s="10"/>
      <c r="G2" s="10"/>
      <c r="H2" s="10"/>
    </row>
    <row r="3" spans="1:8" ht="18" customHeight="1">
      <c r="A3" s="50" t="s">
        <v>160</v>
      </c>
      <c r="B3" s="49"/>
      <c r="C3" s="49"/>
      <c r="D3" s="49"/>
      <c r="E3" s="49"/>
      <c r="F3" s="49"/>
      <c r="G3" s="10"/>
      <c r="H3" s="10"/>
    </row>
    <row r="4" spans="1:8" ht="18" customHeight="1">
      <c r="A4" s="10"/>
      <c r="B4" s="10"/>
      <c r="C4" s="10"/>
      <c r="D4" s="10"/>
      <c r="E4" s="10"/>
      <c r="F4" s="10"/>
      <c r="G4" s="10"/>
      <c r="H4" s="10"/>
    </row>
    <row r="5" spans="1:8" ht="18" customHeight="1">
      <c r="A5" s="1" t="s">
        <v>161</v>
      </c>
      <c r="B5" s="1" t="s">
        <v>162</v>
      </c>
      <c r="C5" s="1" t="s">
        <v>163</v>
      </c>
      <c r="D5" s="1" t="s">
        <v>164</v>
      </c>
      <c r="E5" s="1" t="s">
        <v>165</v>
      </c>
      <c r="F5" s="10"/>
      <c r="G5" s="10"/>
      <c r="H5" s="10"/>
    </row>
    <row r="6" spans="1:8" ht="18" customHeight="1">
      <c r="A6" s="16">
        <v>-0.02</v>
      </c>
      <c r="B6" s="16">
        <f>-Analysis!$B$22*A6</f>
        <v>0.160189845494214</v>
      </c>
      <c r="C6" s="17">
        <f>Analysis!$B$5*(1+B6)</f>
        <v>1145.142183198154</v>
      </c>
      <c r="D6" s="17">
        <f>IFERROR(IF((Analysis!$B$18+A6)/Inputs!$B$15=0,Analysis!$B$11*Analysis!$B$12+Analysis!$B$4,Analysis!$B$11*(1-POWER(1+(Analysis!$B$18+A6)/Inputs!$B$15,-Analysis!$B$12))/((Analysis!$B$18+A6)/Inputs!$B$15)+Analysis!$B$4/POWER(1+(Analysis!$B$18+A6)/Inputs!$B$15,Analysis!$B$12)),"")</f>
        <v>1161.3645755488346</v>
      </c>
      <c r="E6" s="17">
        <f>D6-C6</f>
        <v>16.222392350680593</v>
      </c>
      <c r="F6" s="10"/>
      <c r="G6" s="10"/>
      <c r="H6" s="10"/>
    </row>
    <row r="7" spans="1:8" ht="18" customHeight="1">
      <c r="A7" s="16">
        <v>-0.01</v>
      </c>
      <c r="B7" s="16">
        <f>-Analysis!$B$22*A7</f>
        <v>8.0094922747107E-2</v>
      </c>
      <c r="C7" s="17">
        <f>Analysis!$B$5*(1+B7)</f>
        <v>1066.086091599077</v>
      </c>
      <c r="D7" s="17">
        <f>IFERROR(IF((Analysis!$B$18+A7)/Inputs!$B$15=0,Analysis!$B$11*Analysis!$B$12+Analysis!$B$4,Analysis!$B$11*(1-POWER(1+(Analysis!$B$18+A7)/Inputs!$B$15,-Analysis!$B$12))/((Analysis!$B$18+A7)/Inputs!$B$15)+Analysis!$B$4/POWER(1+(Analysis!$B$18+A7)/Inputs!$B$15,Analysis!$B$12)),"")</f>
        <v>1069.999605196019</v>
      </c>
      <c r="E7" s="17">
        <f>D7-C7</f>
        <v>3.9135135969420389</v>
      </c>
      <c r="F7" s="10"/>
      <c r="G7" s="10"/>
      <c r="H7" s="10"/>
    </row>
    <row r="8" spans="1:8" ht="18" customHeight="1">
      <c r="A8" s="16">
        <v>0</v>
      </c>
      <c r="B8" s="16">
        <f>-Analysis!$B$22*A8</f>
        <v>0</v>
      </c>
      <c r="C8" s="17">
        <f>Analysis!$B$5*(1+B8)</f>
        <v>987.03</v>
      </c>
      <c r="D8" s="17">
        <f>IFERROR(IF((Analysis!$B$18+A8)/Inputs!$B$15=0,Analysis!$B$11*Analysis!$B$12+Analysis!$B$4,Analysis!$B$11*(1-POWER(1+(Analysis!$B$18+A8)/Inputs!$B$15,-Analysis!$B$12))/((Analysis!$B$18+A8)/Inputs!$B$15)+Analysis!$B$4/POWER(1+(Analysis!$B$18+A8)/Inputs!$B$15,Analysis!$B$12)),"")</f>
        <v>987.0299999999753</v>
      </c>
      <c r="E8" s="17">
        <f>D8-C8</f>
        <v>-2.4670043785590678E-11</v>
      </c>
      <c r="F8" s="10"/>
      <c r="G8" s="10"/>
      <c r="H8" s="10"/>
    </row>
    <row r="9" spans="1:8" ht="18" customHeight="1">
      <c r="A9" s="16">
        <v>0.01</v>
      </c>
      <c r="B9" s="16">
        <f>-Analysis!$B$22*A9</f>
        <v>-8.0094922747107E-2</v>
      </c>
      <c r="C9" s="17">
        <f>Analysis!$B$5*(1+B9)</f>
        <v>907.97390840092294</v>
      </c>
      <c r="D9" s="17">
        <f>IFERROR(IF((Analysis!$B$18+A9)/Inputs!$B$15=0,Analysis!$B$11*Analysis!$B$12+Analysis!$B$4,Analysis!$B$11*(1-POWER(1+(Analysis!$B$18+A9)/Inputs!$B$15,-Analysis!$B$12))/((Analysis!$B$18+A9)/Inputs!$B$15)+Analysis!$B$4/POWER(1+(Analysis!$B$18+A9)/Inputs!$B$15,Analysis!$B$12)),"")</f>
        <v>911.62587422116098</v>
      </c>
      <c r="E9" s="17">
        <f>D9-C9</f>
        <v>3.6519658202380469</v>
      </c>
      <c r="F9" s="10"/>
      <c r="G9" s="10"/>
      <c r="H9" s="10"/>
    </row>
    <row r="10" spans="1:8" ht="18" customHeight="1">
      <c r="A10" s="16">
        <v>0.02</v>
      </c>
      <c r="B10" s="16">
        <f>-Analysis!$B$22*A10</f>
        <v>-0.160189845494214</v>
      </c>
      <c r="C10" s="17">
        <f>Analysis!$B$5*(1+B10)</f>
        <v>828.9178168018459</v>
      </c>
      <c r="D10" s="17">
        <f>IFERROR(IF((Analysis!$B$18+A10)/Inputs!$B$15=0,Analysis!$B$11*Analysis!$B$12+Analysis!$B$4,Analysis!$B$11*(1-POWER(1+(Analysis!$B$18+A10)/Inputs!$B$15,-Analysis!$B$12))/((Analysis!$B$18+A10)/Inputs!$B$15)+Analysis!$B$4/POWER(1+(Analysis!$B$18+A10)/Inputs!$B$15,Analysis!$B$12)),"")</f>
        <v>843.04382794328194</v>
      </c>
      <c r="E10" s="17">
        <f>D10-C10</f>
        <v>14.126011141436038</v>
      </c>
      <c r="F10" s="10"/>
      <c r="G10" s="10"/>
      <c r="H10" s="10"/>
    </row>
    <row r="11" spans="1:8" ht="18" customHeight="1">
      <c r="A11" s="10"/>
      <c r="B11" s="10"/>
      <c r="C11" s="10"/>
      <c r="D11" s="10"/>
      <c r="E11" s="10"/>
      <c r="F11" s="10"/>
      <c r="G11" s="10"/>
      <c r="H11" s="10"/>
    </row>
    <row r="12" spans="1:8" ht="42.75" customHeight="1">
      <c r="A12" s="10" t="s">
        <v>166</v>
      </c>
      <c r="B12" s="3" t="s">
        <v>167</v>
      </c>
      <c r="C12" s="3"/>
      <c r="D12" s="3"/>
      <c r="E12" s="3"/>
      <c r="F12" s="10"/>
      <c r="G12" s="10"/>
      <c r="H12" s="10"/>
    </row>
    <row r="13" spans="1:8" ht="18" customHeight="1">
      <c r="A13" s="10"/>
      <c r="B13" s="10"/>
      <c r="C13" s="10"/>
      <c r="D13" s="10"/>
      <c r="E13" s="10"/>
      <c r="F13" s="10"/>
      <c r="G13" s="10"/>
      <c r="H13" s="10"/>
    </row>
    <row r="14" spans="1:8" ht="18" customHeight="1">
      <c r="A14" s="10"/>
      <c r="B14" s="10"/>
      <c r="C14" s="10"/>
      <c r="D14" s="10"/>
      <c r="E14" s="10"/>
      <c r="F14" s="10"/>
      <c r="G14" s="10"/>
      <c r="H14" s="10"/>
    </row>
    <row r="15" spans="1:8" ht="18" customHeight="1">
      <c r="A15" s="10"/>
      <c r="B15" s="10"/>
      <c r="C15" s="10"/>
      <c r="D15" s="10"/>
      <c r="E15" s="10"/>
      <c r="F15" s="10"/>
      <c r="G15" s="10"/>
      <c r="H15" s="10"/>
    </row>
    <row r="16" spans="1:8" ht="18" customHeight="1">
      <c r="A16" s="10"/>
      <c r="B16" s="10"/>
      <c r="C16" s="10"/>
      <c r="D16" s="10"/>
      <c r="E16" s="10"/>
      <c r="F16" s="10"/>
      <c r="G16" s="10"/>
      <c r="H16" s="10"/>
    </row>
    <row r="17" spans="1:8" ht="18" customHeight="1">
      <c r="A17" s="10"/>
      <c r="B17" s="10"/>
      <c r="C17" s="10"/>
      <c r="D17" s="10"/>
      <c r="E17" s="10"/>
      <c r="F17" s="10"/>
      <c r="G17" s="10"/>
      <c r="H17" s="10"/>
    </row>
    <row r="18" spans="1:8" ht="18" customHeight="1">
      <c r="A18" s="10"/>
      <c r="B18" s="10"/>
      <c r="C18" s="10"/>
      <c r="D18" s="10"/>
      <c r="E18" s="10"/>
      <c r="F18" s="10"/>
      <c r="G18" s="10"/>
      <c r="H18" s="10"/>
    </row>
    <row r="19" spans="1:8" ht="18" customHeight="1">
      <c r="A19" s="10"/>
      <c r="B19" s="10"/>
      <c r="C19" s="10"/>
      <c r="D19" s="10"/>
      <c r="E19" s="10"/>
      <c r="F19" s="10"/>
      <c r="G19" s="10"/>
      <c r="H19" s="10"/>
    </row>
    <row r="20" spans="1:8" ht="18" customHeight="1">
      <c r="A20" s="10"/>
      <c r="B20" s="10"/>
      <c r="C20" s="10"/>
      <c r="D20" s="10"/>
      <c r="E20" s="10"/>
      <c r="F20" s="10"/>
      <c r="G20" s="10"/>
      <c r="H20" s="10"/>
    </row>
    <row r="21" spans="1:8" ht="18" customHeight="1">
      <c r="A21" s="10"/>
      <c r="B21" s="10"/>
      <c r="C21" s="10"/>
      <c r="D21" s="10"/>
      <c r="E21" s="10"/>
      <c r="F21" s="10"/>
      <c r="G21" s="10"/>
      <c r="H21" s="10"/>
    </row>
    <row r="22" spans="1:8" ht="18" customHeight="1">
      <c r="A22" s="10"/>
      <c r="B22" s="10"/>
      <c r="C22" s="10"/>
      <c r="D22" s="10"/>
      <c r="E22" s="10"/>
      <c r="F22" s="10"/>
      <c r="G22" s="10"/>
      <c r="H22" s="10"/>
    </row>
    <row r="23" spans="1:8" ht="18" customHeight="1">
      <c r="A23" s="10"/>
      <c r="B23" s="10"/>
      <c r="C23" s="10"/>
      <c r="D23" s="10"/>
      <c r="E23" s="10"/>
      <c r="F23" s="10"/>
      <c r="G23" s="10"/>
      <c r="H23" s="10"/>
    </row>
    <row r="24" spans="1:8" ht="18" customHeight="1">
      <c r="A24" s="10"/>
      <c r="B24" s="10"/>
      <c r="C24" s="10"/>
      <c r="D24" s="10"/>
      <c r="E24" s="10"/>
      <c r="F24" s="10"/>
      <c r="G24" s="10"/>
      <c r="H24" s="10"/>
    </row>
    <row r="25" spans="1:8" ht="18" customHeight="1">
      <c r="A25" s="10"/>
      <c r="B25" s="10"/>
      <c r="C25" s="10"/>
      <c r="D25" s="10"/>
      <c r="E25" s="10"/>
      <c r="F25" s="10"/>
      <c r="G25" s="10"/>
      <c r="H25" s="10"/>
    </row>
    <row r="26" spans="1:8" ht="18" customHeight="1">
      <c r="A26" s="10"/>
      <c r="B26" s="10"/>
      <c r="C26" s="10"/>
      <c r="D26" s="10"/>
      <c r="E26" s="10"/>
      <c r="F26" s="10"/>
      <c r="G26" s="10"/>
      <c r="H26" s="10"/>
    </row>
    <row r="27" spans="1:8" ht="18" customHeight="1">
      <c r="A27" s="10"/>
      <c r="B27" s="10"/>
      <c r="C27" s="10"/>
      <c r="D27" s="10"/>
      <c r="E27" s="10"/>
      <c r="F27" s="10"/>
      <c r="G27" s="10"/>
      <c r="H27" s="10"/>
    </row>
    <row r="28" spans="1:8" ht="18" customHeight="1">
      <c r="A28" s="10"/>
      <c r="B28" s="10"/>
      <c r="C28" s="10"/>
      <c r="D28" s="10"/>
      <c r="E28" s="10"/>
      <c r="F28" s="10"/>
      <c r="G28" s="10"/>
      <c r="H28" s="10"/>
    </row>
    <row r="29" spans="1:8" ht="18" customHeight="1">
      <c r="A29" s="10"/>
      <c r="B29" s="10"/>
      <c r="C29" s="10"/>
      <c r="D29" s="10"/>
      <c r="E29" s="10"/>
      <c r="F29" s="10"/>
      <c r="G29" s="10"/>
      <c r="H29" s="10"/>
    </row>
    <row r="30" spans="1:8" ht="18" customHeight="1">
      <c r="A30" s="10"/>
      <c r="B30" s="10"/>
      <c r="C30" s="10"/>
      <c r="D30" s="10"/>
      <c r="E30" s="10"/>
      <c r="F30" s="10"/>
      <c r="G30" s="10"/>
      <c r="H30" s="10"/>
    </row>
    <row r="31" spans="1:8" ht="18" customHeight="1">
      <c r="A31" s="10"/>
      <c r="B31" s="10"/>
      <c r="C31" s="10"/>
      <c r="D31" s="10"/>
      <c r="E31" s="10"/>
      <c r="F31" s="10"/>
      <c r="G31" s="10"/>
      <c r="H31" s="10"/>
    </row>
    <row r="32" spans="1:8" ht="18" customHeight="1">
      <c r="A32" s="10"/>
      <c r="B32" s="10"/>
      <c r="C32" s="10"/>
      <c r="D32" s="10"/>
      <c r="E32" s="10"/>
      <c r="F32" s="10"/>
      <c r="G32" s="10"/>
      <c r="H32" s="10"/>
    </row>
    <row r="33" spans="1:8" ht="18" customHeight="1">
      <c r="A33" s="10"/>
      <c r="B33" s="10"/>
      <c r="C33" s="10"/>
      <c r="D33" s="10"/>
      <c r="E33" s="10"/>
      <c r="F33" s="10"/>
      <c r="G33" s="10"/>
      <c r="H33" s="10"/>
    </row>
    <row r="34" spans="1:8" ht="18" customHeight="1">
      <c r="A34" s="10"/>
      <c r="B34" s="10"/>
      <c r="C34" s="10"/>
      <c r="D34" s="10"/>
      <c r="E34" s="10"/>
      <c r="F34" s="10"/>
      <c r="G34" s="10"/>
      <c r="H34" s="10"/>
    </row>
    <row r="35" spans="1:8" ht="18" customHeight="1">
      <c r="A35" s="10"/>
      <c r="B35" s="10"/>
      <c r="C35" s="10"/>
      <c r="D35" s="10"/>
      <c r="E35" s="10"/>
      <c r="F35" s="10"/>
      <c r="G35" s="10"/>
      <c r="H35" s="10"/>
    </row>
    <row r="36" spans="1:8" ht="18" customHeight="1">
      <c r="A36" s="10"/>
      <c r="B36" s="10"/>
      <c r="C36" s="10"/>
      <c r="D36" s="10"/>
      <c r="E36" s="10"/>
      <c r="F36" s="10"/>
      <c r="G36" s="10"/>
      <c r="H36" s="10"/>
    </row>
    <row r="37" spans="1:8" ht="18" customHeight="1">
      <c r="A37" s="10"/>
      <c r="B37" s="10"/>
      <c r="C37" s="10"/>
      <c r="D37" s="10"/>
      <c r="E37" s="10"/>
      <c r="F37" s="10"/>
      <c r="G37" s="10"/>
      <c r="H37" s="10"/>
    </row>
    <row r="38" spans="1:8" ht="18" customHeight="1">
      <c r="A38" s="10"/>
      <c r="B38" s="10"/>
      <c r="C38" s="10"/>
      <c r="D38" s="10"/>
      <c r="E38" s="10"/>
      <c r="F38" s="10"/>
      <c r="G38" s="10"/>
      <c r="H38" s="10"/>
    </row>
    <row r="39" spans="1:8" ht="18" customHeight="1">
      <c r="A39" s="10"/>
      <c r="B39" s="10"/>
      <c r="C39" s="10"/>
      <c r="D39" s="10"/>
      <c r="E39" s="10"/>
      <c r="F39" s="10"/>
      <c r="G39" s="10"/>
      <c r="H39" s="10"/>
    </row>
    <row r="40" spans="1:8" ht="18" customHeight="1">
      <c r="A40" s="10"/>
      <c r="B40" s="10"/>
      <c r="C40" s="10"/>
      <c r="D40" s="10"/>
      <c r="E40" s="10"/>
      <c r="F40" s="10"/>
      <c r="G40" s="10"/>
      <c r="H40" s="10"/>
    </row>
  </sheetData>
  <mergeCells count="2">
    <mergeCell ref="A1:F1"/>
    <mergeCell ref="A3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tabSelected="1" workbookViewId="0">
      <selection activeCell="A8" sqref="A8"/>
    </sheetView>
  </sheetViews>
  <sheetFormatPr defaultRowHeight="14.25"/>
  <cols>
    <col min="1" max="1" width="28" style="32" customWidth="1"/>
    <col min="2" max="2" width="9.125" style="32" customWidth="1"/>
    <col min="3" max="3" width="14.875" style="32" customWidth="1"/>
    <col min="4" max="4" width="14.625" style="32" customWidth="1"/>
    <col min="5" max="5" width="8.25" style="32" customWidth="1"/>
    <col min="6" max="6" width="8" style="32" customWidth="1"/>
    <col min="7" max="7" width="19" style="32" customWidth="1"/>
    <col min="8" max="8" width="11.375" style="32" customWidth="1"/>
    <col min="9" max="16384" width="9" style="32"/>
  </cols>
  <sheetData>
    <row r="1" spans="1:8" ht="30" customHeight="1">
      <c r="A1" s="45" t="s">
        <v>168</v>
      </c>
      <c r="B1" s="46"/>
      <c r="C1" s="46"/>
      <c r="D1" s="46"/>
      <c r="E1" s="46"/>
      <c r="F1" s="46"/>
      <c r="G1" s="46"/>
      <c r="H1" s="46"/>
    </row>
    <row r="2" spans="1:8" ht="18" customHeight="1">
      <c r="A2" s="31"/>
      <c r="B2" s="31"/>
      <c r="C2" s="31"/>
      <c r="D2" s="31"/>
      <c r="E2" s="31"/>
      <c r="F2" s="31"/>
      <c r="G2" s="31"/>
      <c r="H2" s="31"/>
    </row>
    <row r="3" spans="1:8" ht="18" customHeight="1">
      <c r="A3" s="47" t="s">
        <v>169</v>
      </c>
      <c r="B3" s="46"/>
      <c r="C3" s="46"/>
      <c r="D3" s="46"/>
      <c r="E3" s="46"/>
      <c r="F3" s="46"/>
      <c r="G3" s="46"/>
      <c r="H3" s="46"/>
    </row>
    <row r="4" spans="1:8" ht="18" customHeight="1">
      <c r="A4" s="31"/>
      <c r="B4" s="31"/>
      <c r="C4" s="31"/>
      <c r="D4" s="31"/>
      <c r="E4" s="31"/>
      <c r="F4" s="31"/>
      <c r="G4" s="31"/>
      <c r="H4" s="31"/>
    </row>
    <row r="5" spans="1:8" ht="40.5" customHeight="1">
      <c r="A5" s="1" t="s">
        <v>170</v>
      </c>
      <c r="B5" s="1" t="s">
        <v>171</v>
      </c>
      <c r="C5" s="1" t="s">
        <v>137</v>
      </c>
      <c r="D5" s="1" t="s">
        <v>13</v>
      </c>
      <c r="E5" s="1" t="s">
        <v>25</v>
      </c>
      <c r="F5" s="1" t="s">
        <v>172</v>
      </c>
      <c r="G5" s="1" t="s">
        <v>173</v>
      </c>
      <c r="H5" s="1" t="s">
        <v>174</v>
      </c>
    </row>
    <row r="6" spans="1:8" ht="27.75" customHeight="1">
      <c r="A6" s="41" t="str">
        <f>Inputs!$B$4</f>
        <v>U.S. Treasury Note 4,375% 15/05/2036 — US91282CQQ77</v>
      </c>
      <c r="B6" s="42">
        <f>Analysis!$B$29</f>
        <v>987.03</v>
      </c>
      <c r="C6" s="33">
        <f>IFERROR(B6/SUM($B$6:$B$20),0)</f>
        <v>0.32803900454654222</v>
      </c>
      <c r="D6" s="43">
        <f>Analysis!$B$22</f>
        <v>8.0094922747107002</v>
      </c>
      <c r="E6" s="44">
        <f>Risk!$B$14</f>
        <v>2.5699999999999994</v>
      </c>
      <c r="F6" s="41" t="str">
        <f>Risk!$B$15</f>
        <v>Μέσος</v>
      </c>
      <c r="G6" s="35">
        <f t="shared" ref="G6:G20" si="0">C6*D6</f>
        <v>2.6274258727193183</v>
      </c>
      <c r="H6" s="35">
        <f t="shared" ref="H6:H20" si="1">C6*E6</f>
        <v>0.84306024168461335</v>
      </c>
    </row>
    <row r="7" spans="1:8" ht="27.75" customHeight="1">
      <c r="A7" s="37" t="s">
        <v>244</v>
      </c>
      <c r="B7" s="38">
        <v>1024.4000000000001</v>
      </c>
      <c r="C7" s="33">
        <f>IFERROR(B7/SUM($B$6:$B$20),0)</f>
        <v>0.34045890829810432</v>
      </c>
      <c r="D7" s="39">
        <v>1.9132539351515032</v>
      </c>
      <c r="E7" s="40">
        <v>1.9000000000000001</v>
      </c>
      <c r="F7" s="37" t="s">
        <v>245</v>
      </c>
      <c r="G7" s="35">
        <f t="shared" si="0"/>
        <v>0.65138434605873285</v>
      </c>
      <c r="H7" s="35">
        <f t="shared" si="1"/>
        <v>0.64687192576639829</v>
      </c>
    </row>
    <row r="8" spans="1:8" ht="27.75" customHeight="1">
      <c r="A8" s="37" t="s">
        <v>247</v>
      </c>
      <c r="B8" s="38">
        <v>997.45</v>
      </c>
      <c r="C8" s="33">
        <f t="shared" ref="C8:C20" si="2">IFERROR(B8/SUM($B$6:$B$20),0)</f>
        <v>0.33150208715535351</v>
      </c>
      <c r="D8" s="39">
        <v>4.47473273634969</v>
      </c>
      <c r="E8" s="40">
        <v>1.8200000000000003</v>
      </c>
      <c r="F8" s="37" t="s">
        <v>245</v>
      </c>
      <c r="G8" s="35">
        <f t="shared" si="0"/>
        <v>1.4833832415623085</v>
      </c>
      <c r="H8" s="35">
        <f t="shared" si="1"/>
        <v>0.6033337986227435</v>
      </c>
    </row>
    <row r="9" spans="1:8" ht="27.75" customHeight="1">
      <c r="A9" s="37"/>
      <c r="B9" s="38"/>
      <c r="C9" s="33">
        <f t="shared" si="2"/>
        <v>0</v>
      </c>
      <c r="D9" s="39"/>
      <c r="E9" s="40"/>
      <c r="F9" s="37"/>
      <c r="G9" s="35">
        <f t="shared" si="0"/>
        <v>0</v>
      </c>
      <c r="H9" s="35">
        <f t="shared" si="1"/>
        <v>0</v>
      </c>
    </row>
    <row r="10" spans="1:8" ht="27.75" customHeight="1">
      <c r="A10" s="37"/>
      <c r="B10" s="38"/>
      <c r="C10" s="33">
        <f t="shared" si="2"/>
        <v>0</v>
      </c>
      <c r="D10" s="39"/>
      <c r="E10" s="40"/>
      <c r="F10" s="37"/>
      <c r="G10" s="35">
        <f t="shared" si="0"/>
        <v>0</v>
      </c>
      <c r="H10" s="35">
        <f t="shared" si="1"/>
        <v>0</v>
      </c>
    </row>
    <row r="11" spans="1:8" ht="27.75" customHeight="1">
      <c r="A11" s="37"/>
      <c r="B11" s="38"/>
      <c r="C11" s="33">
        <f t="shared" si="2"/>
        <v>0</v>
      </c>
      <c r="D11" s="39"/>
      <c r="E11" s="40"/>
      <c r="F11" s="37"/>
      <c r="G11" s="35">
        <f t="shared" si="0"/>
        <v>0</v>
      </c>
      <c r="H11" s="35">
        <f t="shared" si="1"/>
        <v>0</v>
      </c>
    </row>
    <row r="12" spans="1:8" ht="27.75" customHeight="1">
      <c r="A12" s="37"/>
      <c r="B12" s="38"/>
      <c r="C12" s="33">
        <f t="shared" si="2"/>
        <v>0</v>
      </c>
      <c r="D12" s="39"/>
      <c r="E12" s="40"/>
      <c r="F12" s="37"/>
      <c r="G12" s="35">
        <f t="shared" si="0"/>
        <v>0</v>
      </c>
      <c r="H12" s="35">
        <f t="shared" si="1"/>
        <v>0</v>
      </c>
    </row>
    <row r="13" spans="1:8" ht="27.75" customHeight="1">
      <c r="A13" s="37"/>
      <c r="B13" s="38"/>
      <c r="C13" s="33">
        <f t="shared" si="2"/>
        <v>0</v>
      </c>
      <c r="D13" s="39"/>
      <c r="E13" s="40"/>
      <c r="F13" s="37"/>
      <c r="G13" s="35">
        <f t="shared" si="0"/>
        <v>0</v>
      </c>
      <c r="H13" s="35">
        <f t="shared" si="1"/>
        <v>0</v>
      </c>
    </row>
    <row r="14" spans="1:8" ht="27.75" customHeight="1">
      <c r="A14" s="37"/>
      <c r="B14" s="38"/>
      <c r="C14" s="33">
        <f t="shared" si="2"/>
        <v>0</v>
      </c>
      <c r="D14" s="39"/>
      <c r="E14" s="40"/>
      <c r="F14" s="37"/>
      <c r="G14" s="35">
        <f t="shared" si="0"/>
        <v>0</v>
      </c>
      <c r="H14" s="35">
        <f t="shared" si="1"/>
        <v>0</v>
      </c>
    </row>
    <row r="15" spans="1:8" ht="27.75" customHeight="1">
      <c r="A15" s="37"/>
      <c r="B15" s="38"/>
      <c r="C15" s="33">
        <f t="shared" si="2"/>
        <v>0</v>
      </c>
      <c r="D15" s="39"/>
      <c r="E15" s="40"/>
      <c r="F15" s="37"/>
      <c r="G15" s="35">
        <f t="shared" si="0"/>
        <v>0</v>
      </c>
      <c r="H15" s="35">
        <f t="shared" si="1"/>
        <v>0</v>
      </c>
    </row>
    <row r="16" spans="1:8" ht="27.75" customHeight="1">
      <c r="A16" s="37"/>
      <c r="B16" s="38"/>
      <c r="C16" s="33">
        <f t="shared" si="2"/>
        <v>0</v>
      </c>
      <c r="D16" s="39"/>
      <c r="E16" s="40"/>
      <c r="F16" s="37"/>
      <c r="G16" s="35">
        <f t="shared" si="0"/>
        <v>0</v>
      </c>
      <c r="H16" s="35">
        <f t="shared" si="1"/>
        <v>0</v>
      </c>
    </row>
    <row r="17" spans="1:8" ht="27.75" customHeight="1">
      <c r="A17" s="37"/>
      <c r="B17" s="38"/>
      <c r="C17" s="33">
        <f t="shared" si="2"/>
        <v>0</v>
      </c>
      <c r="D17" s="39"/>
      <c r="E17" s="40"/>
      <c r="F17" s="37"/>
      <c r="G17" s="35">
        <f t="shared" si="0"/>
        <v>0</v>
      </c>
      <c r="H17" s="35">
        <f t="shared" si="1"/>
        <v>0</v>
      </c>
    </row>
    <row r="18" spans="1:8" ht="27.75" customHeight="1">
      <c r="A18" s="37"/>
      <c r="B18" s="38"/>
      <c r="C18" s="33">
        <f t="shared" si="2"/>
        <v>0</v>
      </c>
      <c r="D18" s="39"/>
      <c r="E18" s="40"/>
      <c r="F18" s="37"/>
      <c r="G18" s="35">
        <f t="shared" si="0"/>
        <v>0</v>
      </c>
      <c r="H18" s="35">
        <f t="shared" si="1"/>
        <v>0</v>
      </c>
    </row>
    <row r="19" spans="1:8" ht="27.75" customHeight="1">
      <c r="A19" s="37"/>
      <c r="B19" s="38"/>
      <c r="C19" s="33">
        <f t="shared" si="2"/>
        <v>0</v>
      </c>
      <c r="D19" s="39"/>
      <c r="E19" s="40"/>
      <c r="F19" s="37"/>
      <c r="G19" s="35">
        <f t="shared" si="0"/>
        <v>0</v>
      </c>
      <c r="H19" s="35">
        <f t="shared" si="1"/>
        <v>0</v>
      </c>
    </row>
    <row r="20" spans="1:8" ht="27.75" customHeight="1">
      <c r="A20" s="37"/>
      <c r="B20" s="38"/>
      <c r="C20" s="33">
        <f t="shared" si="2"/>
        <v>0</v>
      </c>
      <c r="D20" s="39"/>
      <c r="E20" s="40"/>
      <c r="F20" s="37"/>
      <c r="G20" s="35">
        <f t="shared" si="0"/>
        <v>0</v>
      </c>
      <c r="H20" s="35">
        <f t="shared" si="1"/>
        <v>0</v>
      </c>
    </row>
    <row r="21" spans="1:8" ht="18" customHeight="1">
      <c r="A21" s="31"/>
      <c r="B21" s="31"/>
      <c r="C21" s="31"/>
      <c r="D21" s="34"/>
      <c r="E21" s="34"/>
      <c r="F21" s="31"/>
      <c r="G21" s="31"/>
      <c r="H21" s="31"/>
    </row>
    <row r="22" spans="1:8" ht="18" customHeight="1">
      <c r="A22" s="36" t="s">
        <v>175</v>
      </c>
      <c r="B22" s="31">
        <f>SUM(G6:G20)</f>
        <v>4.7621934603403595</v>
      </c>
      <c r="C22" s="31"/>
      <c r="D22" s="34"/>
      <c r="E22" s="34"/>
      <c r="F22" s="31"/>
      <c r="G22" s="31"/>
      <c r="H22" s="31"/>
    </row>
    <row r="23" spans="1:8" ht="18" customHeight="1">
      <c r="A23" s="36" t="s">
        <v>176</v>
      </c>
      <c r="B23" s="31">
        <f>SUM(H6:H20)</f>
        <v>2.0932659660737554</v>
      </c>
      <c r="C23" s="31"/>
      <c r="D23" s="34"/>
      <c r="E23" s="34"/>
      <c r="F23" s="31"/>
      <c r="G23" s="31"/>
      <c r="H23" s="31"/>
    </row>
    <row r="24" spans="1:8" ht="18" customHeight="1">
      <c r="A24" s="36" t="s">
        <v>177</v>
      </c>
      <c r="B24" s="31" t="str">
        <f>IF(B23&lt;=2.5,"Χαμηλός",IF(B23&lt;=4.5,"Μέσος","Υψηλός"))</f>
        <v>Χαμηλός</v>
      </c>
      <c r="C24" s="31"/>
      <c r="D24" s="31"/>
      <c r="E24" s="31"/>
      <c r="F24" s="31"/>
      <c r="G24" s="31"/>
      <c r="H24" s="31"/>
    </row>
    <row r="25" spans="1:8" ht="18" customHeight="1">
      <c r="A25" s="31"/>
      <c r="B25" s="31"/>
      <c r="C25" s="31"/>
      <c r="D25" s="31"/>
      <c r="E25" s="31"/>
      <c r="F25" s="31"/>
      <c r="G25" s="31"/>
      <c r="H25" s="31"/>
    </row>
    <row r="26" spans="1:8" ht="18" customHeight="1">
      <c r="A26" s="31"/>
      <c r="B26" s="31"/>
      <c r="C26" s="31"/>
      <c r="D26" s="31"/>
      <c r="E26" s="31"/>
      <c r="F26" s="31"/>
      <c r="G26" s="31"/>
      <c r="H26" s="31"/>
    </row>
    <row r="27" spans="1:8" ht="18" customHeight="1">
      <c r="A27" s="31"/>
      <c r="B27" s="31"/>
      <c r="C27" s="31"/>
      <c r="D27" s="31"/>
      <c r="E27" s="31"/>
      <c r="F27" s="31"/>
      <c r="G27" s="31"/>
      <c r="H27" s="31"/>
    </row>
    <row r="28" spans="1:8" ht="18" customHeight="1">
      <c r="A28" s="31"/>
      <c r="B28" s="31"/>
      <c r="C28" s="31"/>
      <c r="D28" s="31"/>
      <c r="E28" s="31"/>
      <c r="F28" s="31"/>
      <c r="G28" s="31"/>
      <c r="H28" s="31"/>
    </row>
    <row r="29" spans="1:8" ht="18" customHeight="1">
      <c r="A29" s="31"/>
      <c r="B29" s="31"/>
      <c r="C29" s="31"/>
      <c r="D29" s="31"/>
      <c r="E29" s="31"/>
      <c r="F29" s="31"/>
      <c r="G29" s="31"/>
      <c r="H29" s="31"/>
    </row>
    <row r="30" spans="1:8" ht="18" customHeight="1">
      <c r="A30" s="31"/>
      <c r="B30" s="31"/>
      <c r="C30" s="31"/>
      <c r="D30" s="31"/>
      <c r="E30" s="31"/>
      <c r="F30" s="31"/>
      <c r="G30" s="31"/>
      <c r="H30" s="31"/>
    </row>
    <row r="31" spans="1:8" ht="18" customHeight="1">
      <c r="A31" s="31"/>
      <c r="B31" s="31"/>
      <c r="C31" s="31"/>
      <c r="D31" s="31"/>
      <c r="E31" s="31"/>
      <c r="F31" s="31"/>
      <c r="G31" s="31"/>
      <c r="H31" s="31"/>
    </row>
    <row r="32" spans="1:8" ht="18" customHeight="1">
      <c r="A32" s="31"/>
      <c r="B32" s="31"/>
      <c r="C32" s="31"/>
      <c r="D32" s="31"/>
      <c r="E32" s="31"/>
      <c r="F32" s="31"/>
      <c r="G32" s="31"/>
      <c r="H32" s="31"/>
    </row>
    <row r="33" spans="1:8" ht="18" customHeight="1">
      <c r="A33" s="31"/>
      <c r="B33" s="31"/>
      <c r="C33" s="31"/>
      <c r="D33" s="31"/>
      <c r="E33" s="31"/>
      <c r="F33" s="31"/>
      <c r="G33" s="31"/>
      <c r="H33" s="31"/>
    </row>
    <row r="34" spans="1:8" ht="18" customHeight="1">
      <c r="A34" s="31"/>
      <c r="B34" s="31"/>
      <c r="C34" s="31"/>
      <c r="D34" s="31"/>
      <c r="E34" s="31"/>
      <c r="F34" s="31"/>
      <c r="G34" s="31"/>
      <c r="H34" s="31"/>
    </row>
    <row r="35" spans="1:8" ht="18" customHeight="1">
      <c r="A35" s="31"/>
      <c r="B35" s="31"/>
      <c r="C35" s="31"/>
      <c r="D35" s="31"/>
      <c r="E35" s="31"/>
      <c r="F35" s="31"/>
      <c r="G35" s="31"/>
      <c r="H35" s="31"/>
    </row>
    <row r="36" spans="1:8" ht="18" customHeight="1">
      <c r="A36" s="31"/>
      <c r="B36" s="31"/>
      <c r="C36" s="31"/>
      <c r="D36" s="31"/>
      <c r="E36" s="31"/>
      <c r="F36" s="31"/>
      <c r="G36" s="31"/>
      <c r="H36" s="31"/>
    </row>
    <row r="37" spans="1:8" ht="18" customHeight="1">
      <c r="A37" s="31"/>
      <c r="B37" s="31"/>
      <c r="C37" s="31"/>
      <c r="D37" s="31"/>
      <c r="E37" s="31"/>
      <c r="F37" s="31"/>
      <c r="G37" s="31"/>
      <c r="H37" s="31"/>
    </row>
    <row r="38" spans="1:8" ht="18" customHeight="1">
      <c r="A38" s="31"/>
      <c r="B38" s="31"/>
      <c r="C38" s="31"/>
      <c r="D38" s="31"/>
      <c r="E38" s="31"/>
      <c r="F38" s="31"/>
      <c r="G38" s="31"/>
      <c r="H38" s="31"/>
    </row>
    <row r="39" spans="1:8" ht="18" customHeight="1">
      <c r="A39" s="31"/>
      <c r="B39" s="31"/>
      <c r="C39" s="31"/>
      <c r="D39" s="31"/>
      <c r="E39" s="31"/>
      <c r="F39" s="31"/>
      <c r="G39" s="31"/>
      <c r="H39" s="31"/>
    </row>
    <row r="40" spans="1:8" ht="18" customHeight="1">
      <c r="A40" s="31"/>
      <c r="B40" s="31"/>
      <c r="C40" s="31"/>
      <c r="D40" s="31"/>
      <c r="E40" s="31"/>
      <c r="F40" s="31"/>
      <c r="G40" s="31"/>
      <c r="H40" s="31"/>
    </row>
  </sheetData>
  <sheetProtection sheet="1" objects="1" scenarios="1" selectLockedCells="1"/>
  <mergeCells count="2">
    <mergeCell ref="A1:H1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workbookViewId="0">
      <selection sqref="A1:D1"/>
    </sheetView>
  </sheetViews>
  <sheetFormatPr defaultRowHeight="14.25"/>
  <cols>
    <col min="1" max="1" width="34" customWidth="1"/>
    <col min="2" max="2" width="90" customWidth="1"/>
    <col min="3" max="3" width="50" customWidth="1"/>
  </cols>
  <sheetData>
    <row r="1" spans="1:8" ht="30" customHeight="1">
      <c r="A1" s="45" t="s">
        <v>178</v>
      </c>
      <c r="B1" s="49"/>
      <c r="C1" s="49"/>
      <c r="D1" s="49"/>
      <c r="E1" s="10"/>
      <c r="F1" s="10"/>
      <c r="G1" s="10"/>
      <c r="H1" s="10"/>
    </row>
    <row r="2" spans="1:8" ht="18" customHeight="1">
      <c r="A2" s="10"/>
      <c r="B2" s="10"/>
      <c r="C2" s="10"/>
      <c r="D2" s="10"/>
      <c r="E2" s="10"/>
      <c r="F2" s="10"/>
      <c r="G2" s="10"/>
      <c r="H2" s="10"/>
    </row>
    <row r="3" spans="1:8" ht="18" customHeight="1">
      <c r="A3" s="50" t="s">
        <v>179</v>
      </c>
      <c r="B3" s="49"/>
      <c r="C3" s="49"/>
      <c r="D3" s="49"/>
      <c r="E3" s="10"/>
      <c r="F3" s="10"/>
      <c r="G3" s="10"/>
      <c r="H3" s="10"/>
    </row>
    <row r="4" spans="1:8" ht="18" customHeight="1">
      <c r="A4" s="10" t="s">
        <v>180</v>
      </c>
      <c r="B4" s="10" t="s">
        <v>181</v>
      </c>
      <c r="C4" s="10"/>
      <c r="D4" s="10"/>
      <c r="E4" s="10"/>
      <c r="F4" s="10"/>
      <c r="G4" s="10"/>
      <c r="H4" s="10"/>
    </row>
    <row r="5" spans="1:8" ht="18" customHeight="1">
      <c r="A5" s="10" t="s">
        <v>182</v>
      </c>
      <c r="B5" s="10" t="s">
        <v>183</v>
      </c>
      <c r="C5" s="10"/>
      <c r="D5" s="10"/>
      <c r="E5" s="10"/>
      <c r="F5" s="10"/>
      <c r="G5" s="10"/>
      <c r="H5" s="10"/>
    </row>
    <row r="6" spans="1:8" ht="18" customHeight="1">
      <c r="A6" s="10" t="s">
        <v>184</v>
      </c>
      <c r="B6" s="10" t="s">
        <v>185</v>
      </c>
      <c r="C6" s="10"/>
      <c r="D6" s="10"/>
      <c r="E6" s="10"/>
      <c r="F6" s="10"/>
      <c r="G6" s="10"/>
      <c r="H6" s="10"/>
    </row>
    <row r="7" spans="1:8" ht="18" customHeight="1">
      <c r="A7" s="10" t="s">
        <v>186</v>
      </c>
      <c r="B7" s="10" t="s">
        <v>187</v>
      </c>
      <c r="C7" s="10"/>
      <c r="D7" s="10"/>
      <c r="E7" s="10"/>
      <c r="F7" s="10"/>
      <c r="G7" s="10"/>
      <c r="H7" s="10"/>
    </row>
    <row r="8" spans="1:8" ht="18" customHeight="1">
      <c r="A8" s="10" t="s">
        <v>188</v>
      </c>
      <c r="B8" s="10" t="s">
        <v>189</v>
      </c>
      <c r="C8" s="10"/>
      <c r="D8" s="10"/>
      <c r="E8" s="10"/>
      <c r="F8" s="10"/>
      <c r="G8" s="10"/>
      <c r="H8" s="10"/>
    </row>
    <row r="9" spans="1:8" ht="18" customHeight="1">
      <c r="A9" s="10"/>
      <c r="B9" s="10"/>
      <c r="C9" s="10"/>
      <c r="D9" s="10"/>
      <c r="E9" s="10"/>
      <c r="F9" s="10"/>
      <c r="G9" s="10"/>
      <c r="H9" s="10"/>
    </row>
    <row r="10" spans="1:8" ht="18" customHeight="1">
      <c r="A10" s="50" t="s">
        <v>190</v>
      </c>
      <c r="B10" s="49"/>
      <c r="C10" s="49"/>
      <c r="D10" s="49"/>
      <c r="E10" s="10"/>
      <c r="F10" s="10"/>
      <c r="G10" s="10"/>
      <c r="H10" s="10"/>
    </row>
    <row r="11" spans="1:8" ht="18" customHeight="1">
      <c r="A11" s="10" t="s">
        <v>191</v>
      </c>
      <c r="B11" s="10" t="s">
        <v>192</v>
      </c>
      <c r="C11" s="10"/>
      <c r="D11" s="10"/>
      <c r="E11" s="10"/>
      <c r="F11" s="10"/>
      <c r="G11" s="10"/>
      <c r="H11" s="10"/>
    </row>
    <row r="12" spans="1:8" ht="18" customHeight="1">
      <c r="A12" s="10" t="s">
        <v>19</v>
      </c>
      <c r="B12" s="10" t="s">
        <v>193</v>
      </c>
      <c r="C12" s="10"/>
      <c r="D12" s="10"/>
      <c r="E12" s="10"/>
      <c r="F12" s="10"/>
      <c r="G12" s="10"/>
      <c r="H12" s="10"/>
    </row>
    <row r="13" spans="1:8" ht="18" customHeight="1">
      <c r="A13" s="10" t="s">
        <v>194</v>
      </c>
      <c r="B13" s="10" t="s">
        <v>195</v>
      </c>
      <c r="C13" s="10"/>
      <c r="D13" s="10"/>
      <c r="E13" s="10"/>
      <c r="F13" s="10"/>
      <c r="G13" s="10"/>
      <c r="H13" s="10"/>
    </row>
    <row r="14" spans="1:8" ht="18" customHeight="1">
      <c r="A14" s="10" t="s">
        <v>196</v>
      </c>
      <c r="B14" s="10" t="s">
        <v>197</v>
      </c>
      <c r="C14" s="10"/>
      <c r="D14" s="10"/>
      <c r="E14" s="10"/>
      <c r="F14" s="10"/>
      <c r="G14" s="10"/>
      <c r="H14" s="10"/>
    </row>
    <row r="15" spans="1:8" ht="18" customHeight="1">
      <c r="A15" s="10" t="s">
        <v>31</v>
      </c>
      <c r="B15" s="10" t="s">
        <v>198</v>
      </c>
      <c r="C15" s="10"/>
      <c r="D15" s="10"/>
      <c r="E15" s="10"/>
      <c r="F15" s="10"/>
      <c r="G15" s="10"/>
      <c r="H15" s="10"/>
    </row>
    <row r="16" spans="1:8" ht="18" customHeight="1">
      <c r="A16" s="10" t="s">
        <v>9</v>
      </c>
      <c r="B16" s="10" t="s">
        <v>199</v>
      </c>
      <c r="C16" s="10"/>
      <c r="D16" s="10"/>
      <c r="E16" s="10"/>
      <c r="F16" s="10"/>
      <c r="G16" s="10"/>
      <c r="H16" s="10"/>
    </row>
    <row r="17" spans="1:8" ht="18" customHeight="1">
      <c r="A17" s="10" t="s">
        <v>13</v>
      </c>
      <c r="B17" s="10" t="s">
        <v>200</v>
      </c>
      <c r="C17" s="10"/>
      <c r="D17" s="10"/>
      <c r="E17" s="10"/>
      <c r="F17" s="10"/>
      <c r="G17" s="10"/>
      <c r="H17" s="10"/>
    </row>
    <row r="18" spans="1:8" ht="18" customHeight="1">
      <c r="A18" s="10" t="s">
        <v>201</v>
      </c>
      <c r="B18" s="10" t="s">
        <v>202</v>
      </c>
      <c r="C18" s="10"/>
      <c r="D18" s="10"/>
      <c r="E18" s="10"/>
      <c r="F18" s="10"/>
      <c r="G18" s="10"/>
      <c r="H18" s="10"/>
    </row>
    <row r="19" spans="1:8" ht="18" customHeight="1">
      <c r="A19" s="10"/>
      <c r="B19" s="10"/>
      <c r="C19" s="10"/>
      <c r="D19" s="10"/>
      <c r="E19" s="10"/>
      <c r="F19" s="10"/>
      <c r="G19" s="10"/>
      <c r="H19" s="10"/>
    </row>
    <row r="20" spans="1:8" ht="18" customHeight="1">
      <c r="A20" s="47" t="s">
        <v>203</v>
      </c>
      <c r="B20" s="47"/>
      <c r="C20" s="47"/>
      <c r="D20" s="49"/>
      <c r="E20" s="10"/>
      <c r="F20" s="10"/>
      <c r="G20" s="10"/>
      <c r="H20" s="10"/>
    </row>
    <row r="21" spans="1:8" ht="18" customHeight="1">
      <c r="A21" s="10" t="s">
        <v>204</v>
      </c>
      <c r="B21" s="10" t="s">
        <v>205</v>
      </c>
      <c r="C21" s="10" t="s">
        <v>206</v>
      </c>
      <c r="D21" s="10"/>
      <c r="E21" s="10"/>
      <c r="F21" s="10"/>
      <c r="G21" s="10"/>
      <c r="H21" s="10"/>
    </row>
    <row r="22" spans="1:8" ht="18" customHeight="1">
      <c r="A22" s="10" t="s">
        <v>207</v>
      </c>
      <c r="B22" s="10" t="s">
        <v>208</v>
      </c>
      <c r="C22" s="10" t="s">
        <v>209</v>
      </c>
      <c r="D22" s="10"/>
      <c r="E22" s="10"/>
      <c r="F22" s="10"/>
      <c r="G22" s="10"/>
      <c r="H22" s="10"/>
    </row>
    <row r="23" spans="1:8" ht="18" customHeight="1">
      <c r="A23" s="10" t="s">
        <v>210</v>
      </c>
      <c r="B23" s="10" t="s">
        <v>211</v>
      </c>
      <c r="C23" s="10" t="s">
        <v>212</v>
      </c>
      <c r="D23" s="10"/>
      <c r="E23" s="10"/>
      <c r="F23" s="10"/>
      <c r="G23" s="10"/>
      <c r="H23" s="10"/>
    </row>
    <row r="24" spans="1:8" ht="18" customHeight="1">
      <c r="A24" s="10" t="s">
        <v>213</v>
      </c>
      <c r="B24" s="10" t="s">
        <v>214</v>
      </c>
      <c r="C24" s="10" t="s">
        <v>215</v>
      </c>
      <c r="D24" s="10"/>
      <c r="E24" s="10"/>
      <c r="F24" s="10"/>
      <c r="G24" s="10"/>
      <c r="H24" s="10"/>
    </row>
    <row r="25" spans="1:8" ht="18" customHeight="1">
      <c r="A25" s="10" t="s">
        <v>216</v>
      </c>
      <c r="B25" s="10" t="s">
        <v>217</v>
      </c>
      <c r="C25" s="10" t="s">
        <v>218</v>
      </c>
      <c r="D25" s="10"/>
      <c r="E25" s="10"/>
      <c r="F25" s="10"/>
      <c r="G25" s="10"/>
      <c r="H25" s="10"/>
    </row>
    <row r="26" spans="1:8" ht="18" customHeight="1">
      <c r="A26" s="10"/>
      <c r="B26" s="10"/>
      <c r="C26" s="10"/>
      <c r="D26" s="10"/>
      <c r="E26" s="10"/>
      <c r="F26" s="10"/>
      <c r="G26" s="10"/>
      <c r="H26" s="10"/>
    </row>
    <row r="27" spans="1:8" ht="18" customHeight="1">
      <c r="A27" s="10"/>
      <c r="B27" s="10"/>
      <c r="C27" s="10"/>
      <c r="D27" s="10"/>
      <c r="E27" s="10"/>
      <c r="F27" s="10"/>
      <c r="G27" s="10"/>
      <c r="H27" s="10"/>
    </row>
    <row r="28" spans="1:8" ht="18" customHeight="1">
      <c r="A28" s="10"/>
      <c r="B28" s="10"/>
      <c r="C28" s="10"/>
      <c r="D28" s="10"/>
      <c r="E28" s="10"/>
      <c r="F28" s="10"/>
      <c r="G28" s="10"/>
      <c r="H28" s="10"/>
    </row>
    <row r="29" spans="1:8" ht="18" customHeight="1">
      <c r="A29" s="10"/>
      <c r="B29" s="10"/>
      <c r="C29" s="10"/>
      <c r="D29" s="10"/>
      <c r="E29" s="10"/>
      <c r="F29" s="10"/>
      <c r="G29" s="10"/>
      <c r="H29" s="10"/>
    </row>
    <row r="30" spans="1:8" ht="18" customHeight="1">
      <c r="A30" s="10"/>
      <c r="B30" s="10"/>
      <c r="C30" s="10"/>
      <c r="D30" s="10"/>
      <c r="E30" s="10"/>
      <c r="F30" s="10"/>
      <c r="G30" s="10"/>
      <c r="H30" s="10"/>
    </row>
    <row r="31" spans="1:8" ht="18" customHeight="1">
      <c r="A31" s="10"/>
      <c r="B31" s="10"/>
      <c r="C31" s="10"/>
      <c r="D31" s="10"/>
      <c r="E31" s="10"/>
      <c r="F31" s="10"/>
      <c r="G31" s="10"/>
      <c r="H31" s="10"/>
    </row>
    <row r="32" spans="1:8" ht="18" customHeight="1">
      <c r="A32" s="10"/>
      <c r="B32" s="10"/>
      <c r="C32" s="10"/>
      <c r="D32" s="10"/>
      <c r="E32" s="10"/>
      <c r="F32" s="10"/>
      <c r="G32" s="10"/>
      <c r="H32" s="10"/>
    </row>
    <row r="33" spans="1:8" ht="18" customHeight="1">
      <c r="A33" s="10"/>
      <c r="B33" s="10"/>
      <c r="C33" s="10"/>
      <c r="D33" s="10"/>
      <c r="E33" s="10"/>
      <c r="F33" s="10"/>
      <c r="G33" s="10"/>
      <c r="H33" s="10"/>
    </row>
    <row r="34" spans="1:8" ht="18" customHeight="1">
      <c r="A34" s="10"/>
      <c r="B34" s="10"/>
      <c r="C34" s="10"/>
      <c r="D34" s="10"/>
      <c r="E34" s="10"/>
      <c r="F34" s="10"/>
      <c r="G34" s="10"/>
      <c r="H34" s="10"/>
    </row>
    <row r="35" spans="1:8" ht="18" customHeight="1">
      <c r="A35" s="10"/>
      <c r="B35" s="10"/>
      <c r="C35" s="10"/>
      <c r="D35" s="10"/>
      <c r="E35" s="10"/>
      <c r="F35" s="10"/>
      <c r="G35" s="10"/>
      <c r="H35" s="10"/>
    </row>
    <row r="36" spans="1:8" ht="18" customHeight="1">
      <c r="A36" s="10"/>
      <c r="B36" s="10"/>
      <c r="C36" s="10"/>
      <c r="D36" s="10"/>
      <c r="E36" s="10"/>
      <c r="F36" s="10"/>
      <c r="G36" s="10"/>
      <c r="H36" s="10"/>
    </row>
    <row r="37" spans="1:8" ht="18" customHeight="1">
      <c r="A37" s="10"/>
      <c r="B37" s="10"/>
      <c r="C37" s="10"/>
      <c r="D37" s="10"/>
      <c r="E37" s="10"/>
      <c r="F37" s="10"/>
      <c r="G37" s="10"/>
      <c r="H37" s="10"/>
    </row>
    <row r="38" spans="1:8" ht="18" customHeight="1">
      <c r="A38" s="10"/>
      <c r="B38" s="10"/>
      <c r="C38" s="10"/>
      <c r="D38" s="10"/>
      <c r="E38" s="10"/>
      <c r="F38" s="10"/>
      <c r="G38" s="10"/>
      <c r="H38" s="10"/>
    </row>
    <row r="39" spans="1:8" ht="18" customHeight="1">
      <c r="A39" s="10"/>
      <c r="B39" s="10"/>
      <c r="C39" s="10"/>
      <c r="D39" s="10"/>
      <c r="E39" s="10"/>
      <c r="F39" s="10"/>
      <c r="G39" s="10"/>
      <c r="H39" s="10"/>
    </row>
    <row r="40" spans="1:8" ht="18" customHeight="1">
      <c r="A40" s="10"/>
      <c r="B40" s="10"/>
      <c r="C40" s="10"/>
      <c r="D40" s="10"/>
      <c r="E40" s="10"/>
      <c r="F40" s="10"/>
      <c r="G40" s="10"/>
      <c r="H40" s="10"/>
    </row>
  </sheetData>
  <mergeCells count="4">
    <mergeCell ref="A1:D1"/>
    <mergeCell ref="A3:D3"/>
    <mergeCell ref="A10:D10"/>
    <mergeCell ref="A20:D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"/>
  <sheetViews>
    <sheetView workbookViewId="0"/>
  </sheetViews>
  <sheetFormatPr defaultRowHeight="14.25"/>
  <cols>
    <col min="1" max="1" width="19.875" customWidth="1"/>
    <col min="3" max="3" width="10.625" customWidth="1"/>
    <col min="5" max="5" width="6.625" customWidth="1"/>
    <col min="7" max="7" width="7.125" customWidth="1"/>
    <col min="9" max="9" width="7.625" customWidth="1"/>
    <col min="11" max="11" width="14.75" customWidth="1"/>
    <col min="13" max="13" width="7.375" customWidth="1"/>
    <col min="15" max="15" width="7.625" customWidth="1"/>
    <col min="16" max="16" width="4.75" customWidth="1"/>
    <col min="18" max="18" width="7.125" customWidth="1"/>
    <col min="19" max="19" width="4.75" customWidth="1"/>
    <col min="21" max="21" width="10.625" customWidth="1"/>
    <col min="22" max="22" width="4.75" customWidth="1"/>
    <col min="24" max="24" width="6.625" customWidth="1"/>
    <col min="25" max="25" width="4.75" customWidth="1"/>
    <col min="27" max="27" width="19.875" customWidth="1"/>
    <col min="28" max="28" width="4.75" customWidth="1"/>
  </cols>
  <sheetData>
    <row r="1" spans="1:28" ht="30">
      <c r="A1" s="1" t="s">
        <v>219</v>
      </c>
      <c r="C1" s="1" t="s">
        <v>220</v>
      </c>
      <c r="E1" s="1" t="s">
        <v>155</v>
      </c>
      <c r="G1" s="1" t="s">
        <v>221</v>
      </c>
      <c r="I1" s="1" t="s">
        <v>222</v>
      </c>
      <c r="K1" s="1" t="s">
        <v>96</v>
      </c>
      <c r="M1" s="1" t="s">
        <v>223</v>
      </c>
      <c r="O1" s="1" t="s">
        <v>222</v>
      </c>
      <c r="P1" s="1" t="s">
        <v>143</v>
      </c>
      <c r="R1" s="1" t="s">
        <v>221</v>
      </c>
      <c r="S1" s="1" t="s">
        <v>143</v>
      </c>
      <c r="U1" s="1" t="s">
        <v>220</v>
      </c>
      <c r="V1" s="1" t="s">
        <v>143</v>
      </c>
      <c r="X1" s="1" t="s">
        <v>155</v>
      </c>
      <c r="Y1" s="1" t="s">
        <v>143</v>
      </c>
      <c r="AA1" s="1" t="s">
        <v>219</v>
      </c>
      <c r="AB1" s="1" t="s">
        <v>143</v>
      </c>
    </row>
    <row r="2" spans="1:28">
      <c r="A2" t="s">
        <v>224</v>
      </c>
      <c r="C2" t="s">
        <v>59</v>
      </c>
      <c r="E2" t="s">
        <v>225</v>
      </c>
      <c r="G2" t="s">
        <v>226</v>
      </c>
      <c r="I2" t="s">
        <v>227</v>
      </c>
      <c r="K2" t="s">
        <v>36</v>
      </c>
      <c r="M2" t="s">
        <v>56</v>
      </c>
      <c r="O2" t="s">
        <v>227</v>
      </c>
      <c r="P2">
        <v>1</v>
      </c>
      <c r="R2" t="s">
        <v>226</v>
      </c>
      <c r="S2">
        <v>1</v>
      </c>
      <c r="U2" t="s">
        <v>59</v>
      </c>
      <c r="V2">
        <v>1</v>
      </c>
      <c r="X2" t="s">
        <v>225</v>
      </c>
      <c r="Y2">
        <v>4</v>
      </c>
      <c r="AA2" t="s">
        <v>224</v>
      </c>
      <c r="AB2">
        <v>1</v>
      </c>
    </row>
    <row r="3" spans="1:28">
      <c r="A3" t="s">
        <v>53</v>
      </c>
      <c r="C3" t="s">
        <v>228</v>
      </c>
      <c r="E3" t="s">
        <v>62</v>
      </c>
      <c r="G3" t="s">
        <v>65</v>
      </c>
      <c r="I3" t="s">
        <v>229</v>
      </c>
      <c r="K3" t="s">
        <v>230</v>
      </c>
      <c r="M3" t="s">
        <v>231</v>
      </c>
      <c r="O3" t="s">
        <v>229</v>
      </c>
      <c r="P3">
        <v>1.5</v>
      </c>
      <c r="R3" t="s">
        <v>65</v>
      </c>
      <c r="S3">
        <v>3</v>
      </c>
      <c r="U3" t="s">
        <v>228</v>
      </c>
      <c r="V3">
        <v>5</v>
      </c>
      <c r="X3" t="s">
        <v>62</v>
      </c>
      <c r="Y3">
        <v>1</v>
      </c>
      <c r="AA3" t="s">
        <v>232</v>
      </c>
      <c r="AB3">
        <v>3</v>
      </c>
    </row>
    <row r="4" spans="1:28">
      <c r="A4" t="s">
        <v>232</v>
      </c>
      <c r="G4" t="s">
        <v>233</v>
      </c>
      <c r="I4" t="s">
        <v>234</v>
      </c>
      <c r="K4" t="s">
        <v>40</v>
      </c>
      <c r="M4" t="s">
        <v>235</v>
      </c>
      <c r="O4" t="s">
        <v>234</v>
      </c>
      <c r="P4">
        <v>2</v>
      </c>
      <c r="R4" t="s">
        <v>233</v>
      </c>
      <c r="S4">
        <v>6</v>
      </c>
      <c r="AA4" t="s">
        <v>53</v>
      </c>
      <c r="AB4">
        <v>4</v>
      </c>
    </row>
    <row r="5" spans="1:28">
      <c r="I5" t="s">
        <v>68</v>
      </c>
      <c r="M5" t="s">
        <v>236</v>
      </c>
      <c r="O5" t="s">
        <v>68</v>
      </c>
      <c r="P5">
        <v>3</v>
      </c>
    </row>
    <row r="6" spans="1:28">
      <c r="I6" t="s">
        <v>237</v>
      </c>
      <c r="M6" t="s">
        <v>238</v>
      </c>
      <c r="O6" t="s">
        <v>237</v>
      </c>
      <c r="P6">
        <v>5</v>
      </c>
    </row>
    <row r="7" spans="1:28">
      <c r="I7" t="s">
        <v>239</v>
      </c>
      <c r="O7" t="s">
        <v>239</v>
      </c>
      <c r="P7">
        <v>7</v>
      </c>
    </row>
    <row r="8" spans="1:28">
      <c r="I8" t="s">
        <v>240</v>
      </c>
      <c r="O8" t="s">
        <v>240</v>
      </c>
      <c r="P8">
        <v>9</v>
      </c>
    </row>
    <row r="9" spans="1:28">
      <c r="I9" t="s">
        <v>241</v>
      </c>
      <c r="O9" t="s">
        <v>241</v>
      </c>
      <c r="P9">
        <v>10</v>
      </c>
    </row>
    <row r="10" spans="1:28">
      <c r="I10" t="s">
        <v>242</v>
      </c>
      <c r="O10" t="s">
        <v>242</v>
      </c>
      <c r="P10">
        <v>10</v>
      </c>
    </row>
    <row r="11" spans="1:28">
      <c r="I11" t="s">
        <v>243</v>
      </c>
      <c r="O11" t="s">
        <v>243</v>
      </c>
      <c r="P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9</vt:i4>
      </vt:variant>
    </vt:vector>
  </HeadingPairs>
  <TitlesOfParts>
    <vt:vector size="9" baseType="lpstr">
      <vt:lpstr>Dashboard</vt:lpstr>
      <vt:lpstr>Inputs</vt:lpstr>
      <vt:lpstr>Analysis</vt:lpstr>
      <vt:lpstr>Cash_Flows</vt:lpstr>
      <vt:lpstr>Risk</vt:lpstr>
      <vt:lpstr>Sensitivity</vt:lpstr>
      <vt:lpstr>Portfolio</vt:lpstr>
      <vt:lpstr>Sources_Notes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Xristos Andre</cp:lastModifiedBy>
  <dcterms:modified xsi:type="dcterms:W3CDTF">2026-06-16T15:27:44Z</dcterms:modified>
</cp:coreProperties>
</file>